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zhangqijin/PycharmProjects/hangbo/月报模版V1.0（数据+雷达图）/"/>
    </mc:Choice>
  </mc:AlternateContent>
  <xr:revisionPtr revIDLastSave="0" documentId="13_ncr:1_{0B440601-7486-1948-8A77-E5E21BD8FB19}" xr6:coauthVersionLast="47" xr6:coauthVersionMax="47" xr10:uidLastSave="{00000000-0000-0000-0000-000000000000}"/>
  <bookViews>
    <workbookView xWindow="0" yWindow="600" windowWidth="20860" windowHeight="23660" activeTab="2" xr2:uid="{00000000-000D-0000-FFFF-FFFF00000000}"/>
  </bookViews>
  <sheets>
    <sheet name="问卷数据" sheetId="1" r:id="rId1"/>
    <sheet name="展览主承办" sheetId="2" r:id="rId2"/>
    <sheet name="参展商" sheetId="3" r:id="rId3"/>
    <sheet name="专业观众" sheetId="4" r:id="rId4"/>
  </sheets>
  <definedNames>
    <definedName name="_xlnm._FilterDatabase" localSheetId="0" hidden="1">问卷数据!$A$1:$DA$1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4" l="1"/>
  <c r="C15" i="4"/>
  <c r="C30" i="2"/>
  <c r="C25" i="2"/>
  <c r="C23" i="2"/>
  <c r="C22" i="2"/>
  <c r="C11" i="2"/>
  <c r="C27" i="4"/>
  <c r="B27" i="4"/>
  <c r="C26" i="4"/>
  <c r="B26" i="4"/>
  <c r="C25" i="4"/>
  <c r="B25" i="4"/>
  <c r="C24" i="4"/>
  <c r="B24" i="4"/>
  <c r="B23" i="4" s="1"/>
  <c r="C22" i="4"/>
  <c r="B22" i="4"/>
  <c r="B21" i="4"/>
  <c r="C20" i="4"/>
  <c r="B20" i="4"/>
  <c r="C19" i="4"/>
  <c r="B19" i="4"/>
  <c r="C17" i="4"/>
  <c r="B17" i="4"/>
  <c r="C16" i="4"/>
  <c r="B16" i="4"/>
  <c r="B15" i="4"/>
  <c r="C14" i="4"/>
  <c r="B14" i="4"/>
  <c r="C13" i="4"/>
  <c r="B13" i="4"/>
  <c r="C12" i="4"/>
  <c r="B12" i="4"/>
  <c r="C11" i="4"/>
  <c r="B11" i="4"/>
  <c r="C9" i="4"/>
  <c r="B9" i="4"/>
  <c r="C8" i="4"/>
  <c r="B8" i="4"/>
  <c r="C7" i="4"/>
  <c r="B7" i="4"/>
  <c r="B5" i="4" s="1"/>
  <c r="C6" i="4"/>
  <c r="B6" i="4"/>
  <c r="C25" i="3"/>
  <c r="B25" i="3"/>
  <c r="C24" i="3"/>
  <c r="B24" i="3"/>
  <c r="C23" i="3"/>
  <c r="B23" i="3"/>
  <c r="C22" i="3"/>
  <c r="B22" i="3"/>
  <c r="C20" i="3"/>
  <c r="B20" i="3"/>
  <c r="C19" i="3"/>
  <c r="B19" i="3"/>
  <c r="C18" i="3"/>
  <c r="B18" i="3"/>
  <c r="C17" i="3"/>
  <c r="C16" i="3" s="1"/>
  <c r="B17" i="3"/>
  <c r="C15" i="3"/>
  <c r="B15" i="3"/>
  <c r="C14" i="3"/>
  <c r="B14" i="3"/>
  <c r="C13" i="3"/>
  <c r="B13" i="3"/>
  <c r="C12" i="3"/>
  <c r="B12" i="3"/>
  <c r="C11" i="3"/>
  <c r="B11" i="3"/>
  <c r="C10" i="3"/>
  <c r="B10" i="3"/>
  <c r="C8" i="3"/>
  <c r="B8" i="3"/>
  <c r="C7" i="3"/>
  <c r="B7" i="3"/>
  <c r="C6" i="3"/>
  <c r="B6" i="3"/>
  <c r="C5" i="3"/>
  <c r="B5" i="3"/>
  <c r="C4" i="3"/>
  <c r="B4" i="3"/>
  <c r="C36" i="2"/>
  <c r="B36" i="2"/>
  <c r="C35" i="2"/>
  <c r="B35" i="2"/>
  <c r="C34" i="2"/>
  <c r="B34" i="2"/>
  <c r="C33" i="2"/>
  <c r="B33" i="2"/>
  <c r="C31" i="2"/>
  <c r="B31" i="2"/>
  <c r="B30" i="2"/>
  <c r="C29" i="2"/>
  <c r="B29" i="2"/>
  <c r="C28" i="2"/>
  <c r="B28" i="2"/>
  <c r="B27" i="2" s="1"/>
  <c r="C26" i="2"/>
  <c r="B26" i="2"/>
  <c r="B25" i="2"/>
  <c r="C24" i="2"/>
  <c r="B24" i="2"/>
  <c r="B23" i="2"/>
  <c r="B22" i="2"/>
  <c r="C21" i="2"/>
  <c r="B21" i="2"/>
  <c r="C20" i="2"/>
  <c r="B20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B11" i="2"/>
  <c r="C10" i="2"/>
  <c r="B10" i="2"/>
  <c r="C9" i="2"/>
  <c r="B9" i="2"/>
  <c r="C8" i="2"/>
  <c r="B8" i="2"/>
  <c r="C7" i="2"/>
  <c r="B7" i="2"/>
  <c r="C6" i="2"/>
  <c r="B6" i="2"/>
  <c r="C5" i="2"/>
  <c r="B5" i="2"/>
  <c r="C4" i="2"/>
  <c r="B4" i="2"/>
  <c r="C32" i="2" l="1"/>
  <c r="B10" i="4"/>
  <c r="C18" i="4"/>
  <c r="C23" i="4"/>
  <c r="C5" i="4"/>
  <c r="B18" i="4"/>
  <c r="B3" i="4"/>
  <c r="C10" i="4"/>
  <c r="C3" i="4" s="1"/>
  <c r="B21" i="3"/>
  <c r="B3" i="3"/>
  <c r="C3" i="3"/>
  <c r="C21" i="3"/>
  <c r="B9" i="3"/>
  <c r="B16" i="3"/>
  <c r="C9" i="3"/>
  <c r="C3" i="2"/>
  <c r="B3" i="2"/>
  <c r="B19" i="2"/>
  <c r="C27" i="2"/>
  <c r="C19" i="2"/>
  <c r="B32" i="2"/>
  <c r="B1" i="2"/>
  <c r="C1" i="2" l="1"/>
  <c r="C1" i="3"/>
  <c r="B1" i="3"/>
</calcChain>
</file>

<file path=xl/sharedStrings.xml><?xml version="1.0" encoding="utf-8"?>
<sst xmlns="http://schemas.openxmlformats.org/spreadsheetml/2006/main" count="195" uniqueCount="147">
  <si>
    <t>提交序号</t>
  </si>
  <si>
    <t>状态</t>
  </si>
  <si>
    <t>Q1-调研类别</t>
  </si>
  <si>
    <t>Q2-您参加的活动名称</t>
  </si>
  <si>
    <t>Q3-您在展览中的身份</t>
  </si>
  <si>
    <t>Q4-展览规模</t>
  </si>
  <si>
    <t>Q5-第几次与杭博合作</t>
  </si>
  <si>
    <t>Q6-您第几次来杭博参展</t>
  </si>
  <si>
    <t>Q7-您的性别</t>
  </si>
  <si>
    <t>Q8-您的年龄</t>
  </si>
  <si>
    <t>Q10-请问您对杭州国际博览中心的内部交通便利性（交通流线安排）评价？请用1-10分打分。主-交通流线安排(满意度)</t>
  </si>
  <si>
    <t>Q10-请问您对杭州国际博览中心的内部交通便利性（交通流线安排）评价？请用1-10分打分。主-交通流线安排(重要性)</t>
  </si>
  <si>
    <t>Q11-请问您对杭州国际博览中心的交通评价？请用1-10分打分。-内部交通便利，容易到达(满意度)</t>
  </si>
  <si>
    <t>Q11-请问您对杭州国际博览中心的交通评价？请用1-10分打分。-内部交通便利，容易到达(重要性)</t>
  </si>
  <si>
    <t>Q11-请问您对杭州国际博览中心的交通评价？请用1-10分打分。-园区停车便利(满意度)</t>
  </si>
  <si>
    <t>Q11-请问您对杭州国际博览中心的交通评价？请用1-10分打分。-园区停车便利(重要性)</t>
  </si>
  <si>
    <t>Q12-请问您对杭州国际博览中心的展会路线安排评价？请用1-10分打分。专业观众-展会路线安排(满意度)</t>
  </si>
  <si>
    <t>Q12-请问您对杭州国际博览中心的展会路线安排评价？请用1-10分打分。专业观众-展会路线安排(重要性)</t>
  </si>
  <si>
    <t>Q13-请问您对杭州国际博览中心标识标牌清晰评价？请用1-10分打分。-标识标牌清晰(满意度)</t>
  </si>
  <si>
    <t>Q13-请问您对杭州国际博览中心标识标牌清晰评价？请用1-10分打分。-标识标牌清晰(重要性)</t>
  </si>
  <si>
    <t>Q14-请问您对杭州国际博览中心的内部交通便利性（货运通道）评价？请用1-10分打分。主-货运通道(满意度)</t>
  </si>
  <si>
    <t>Q14-请问您对杭州国际博览中心的内部交通便利性（货运通道）评价？请用1-10分打分。主-货运通道(重要性)</t>
  </si>
  <si>
    <t>Q15-请问您对杭州国际博览中心硬件设施评价？请用1-10分打分。主-设施设备齐全（供电、水务、空调、电梯、照明、消防、网络等）(满意度)</t>
  </si>
  <si>
    <t>Q15-请问您对杭州国际博览中心硬件设施评价？请用1-10分打分。主-设施设备齐全（供电、水务、空调、电梯、照明、消防、网络等）(重要性)</t>
  </si>
  <si>
    <t>Q15-请问您对杭州国际博览中心硬件设施评价？请用1-10分打分。主-展厅使用情况（匹配性、方便性）(满意度)</t>
  </si>
  <si>
    <t>Q15-请问您对杭州国际博览中心硬件设施评价？请用1-10分打分。主-展厅使用情况（匹配性、方便性）(重要性)</t>
  </si>
  <si>
    <t>Q16-请问您对杭州国际博览中心设备租赁服务评价？请用1-10分打分。主-设备租赁服务(满意度)</t>
  </si>
  <si>
    <t>Q16-请问您对杭州国际博览中心设备租赁服务评价？请用1-10分打分。主-设备租赁服务(重要性)</t>
  </si>
  <si>
    <t>Q17-请问您对杭州国际博览中心参展环境（空气质量、卫生）评价？请用1-10分打分。专业观众，参展商-参展环境（空气质量，卫生）(满意度)</t>
  </si>
  <si>
    <t>Q17-请问您对杭州国际博览中心参展环境（空气质量、卫生）评价？请用1-10分打分。专业观众，参展商-参展环境（空气质量，卫生）(重要性)</t>
  </si>
  <si>
    <t>Q18-请问您对杭州国际博览中心销售经理评价？请用1-10分打分。主-销售经理服务态度(满意度)</t>
  </si>
  <si>
    <t>Q18-请问您对杭州国际博览中心销售经理评价？请用1-10分打分。主-销售经理服务态度(重要性)</t>
  </si>
  <si>
    <t>Q18-请问您对杭州国际博览中心销售经理评价？请用1-10分打分。主-销售经理业务能力(满意度)</t>
  </si>
  <si>
    <t>Q18-请问您对杭州国际博览中心销售经理评价？请用1-10分打分。主-销售经理业务能力(重要性)</t>
  </si>
  <si>
    <t>Q19-请问您对杭州国际博览中心现场对接协调评价？请用1-10分打分。主-现场对接协调沟通(满意度)</t>
  </si>
  <si>
    <t>Q19-请问您对杭州国际博览中心现场对接协调评价？请用1-10分打分。主-现场对接协调沟通(重要性)</t>
  </si>
  <si>
    <t>Q19-请问您对杭州国际博览中心现场对接协调评价？请用1-10分打分。主-现场对接服务效率(满意度)</t>
  </si>
  <si>
    <t>Q19-请问您对杭州国际博览中心现场对接协调评价？请用1-10分打分。主-现场对接服务效率(重要性)</t>
  </si>
  <si>
    <t>Q20-请问您对杭州国际博览中心工作人员评价？请用1-10分打分。-工作人员仪容仪表(满意度)</t>
  </si>
  <si>
    <t>Q20-请问您对杭州国际博览中心工作人员评价？请用1-10分打分。-工作人员仪容仪表(重要性)</t>
  </si>
  <si>
    <t>Q20-请问您对杭州国际博览中心工作人员评价？请用1-10分打分。-工作人员服务态度(满意度)</t>
  </si>
  <si>
    <t>Q20-请问您对杭州国际博览中心工作人员评价？请用1-10分打分。-工作人员服务态度(重要性)</t>
  </si>
  <si>
    <t>Q20-请问您对杭州国际博览中心工作人员评价？请用1-10分打分。-工作人员业务技能(满意度)</t>
  </si>
  <si>
    <t>Q20-请问您对杭州国际博览中心工作人员评价？请用1-10分打分。-工作人员业务技能(重要性)</t>
  </si>
  <si>
    <t>Q21-请问您对本次展览的服务效率评价如何？ 请用1-10分打分。主-服务响应及时性(满意度)</t>
  </si>
  <si>
    <t>Q21-请问您对本次展览的服务效率评价如何？ 请用1-10分打分。主-服务响应及时性(重要性)</t>
  </si>
  <si>
    <t>Q21-请问您对本次展览的服务效率评价如何？ 请用1-10分打分。主-整体协调和配合(满意度)</t>
  </si>
  <si>
    <t>Q21-请问您对本次展览的服务效率评价如何？ 请用1-10分打分。主-整体协调和配合(重要性)</t>
  </si>
  <si>
    <t>Q22-请问您对本次展览中的各环节服务评价如何？ 请用1-10分打分。主-报馆流程及服务(满意度)</t>
  </si>
  <si>
    <t>Q22-请问您对本次展览中的各环节服务评价如何？ 请用1-10分打分。主-报馆流程及服务(重要性)</t>
  </si>
  <si>
    <t>Q22-请问您对本次展览中的各环节服务评价如何？ 请用1-10分打分。主-在线服务渠道便捷（报馆服务）(满意度)</t>
  </si>
  <si>
    <t>Q22-请问您对本次展览中的各环节服务评价如何？ 请用1-10分打分。主-在线服务渠道便捷（报馆服务）(重要性)</t>
  </si>
  <si>
    <t>Q23-请问您对杭州国际博览中心现场布置与搭建评价？请用1-10分打分。主，参展商-现场布置与搭建(满意度)</t>
  </si>
  <si>
    <t>Q23-请问您对杭州国际博览中心现场布置与搭建评价？请用1-10分打分。主，参展商-现场布置与搭建(重要性)</t>
  </si>
  <si>
    <t>Q24-请问您对本次展览后的各环节服务评价如何？ 请用1-10分打分。主-撤展服务(满意度)</t>
  </si>
  <si>
    <t>Q24-请问您对本次展览后的各环节服务评价如何？ 请用1-10分打分。主-撤展服务(重要性)</t>
  </si>
  <si>
    <t>Q24-请问您对本次展览后的各环节服务评价如何？ 请用1-10分打分。主-展后回访(满意度)</t>
  </si>
  <si>
    <t>Q24-请问您对本次展览后的各环节服务评价如何？ 请用1-10分打分。主-展后回访(重要性)</t>
  </si>
  <si>
    <t>Q25-请问您对杭州国际博览中心配套服务评价？请用1-10分打分。-餐饮服务(自助餐 \美食廊等)(满意度)</t>
  </si>
  <si>
    <t>Q25-请问您对杭州国际博览中心配套服务评价？请用1-10分打分。-餐饮服务(自助餐 \美食廊等)(重要性)</t>
  </si>
  <si>
    <t>Q25-请问您对杭州国际博览中心配套服务评价？请用1-10分打分。-客房服务(满意度)</t>
  </si>
  <si>
    <t>Q25-请问您对杭州国际博览中心配套服务评价？请用1-10分打分。-客房服务(重要性)</t>
  </si>
  <si>
    <t>Q25-请问您对杭州国际博览中心配套服务评价？请用1-10分打分。-安保服务(满意度)</t>
  </si>
  <si>
    <t>Q25-请问您对杭州国际博览中心配套服务评价？请用1-10分打分。-安保服务(重要性)</t>
  </si>
  <si>
    <t>Q25-请问您对杭州国际博览中心配套服务评价？请用1-10分打分。-保洁服务(满意度)</t>
  </si>
  <si>
    <t>Q25-请问您对杭州国际博览中心配套服务评价？请用1-10分打分。-保洁服务(重要性)</t>
  </si>
  <si>
    <t>Q26-请问您对杭州国际博览中心接待引导评价？请用1-10分打分。专业观众-接待引导服务(满意度)</t>
  </si>
  <si>
    <t>Q26-请问您对杭州国际博览中心接待引导评价？请用1-10分打分。专业观众-接待引导服务(重要性)</t>
  </si>
  <si>
    <t>Q27-您知道杭州国际博览中心杭州国博APP吗？</t>
  </si>
  <si>
    <t>Q28-请问您对杭州国际博览中心杭州国博APP评价？请用1-10分打分。-杭州国博APP(满意度)</t>
  </si>
  <si>
    <t>Q28-请问您对杭州国际博览中心杭州国博APP评价？请用1-10分打分。-杭州国博APP(重要性)</t>
  </si>
  <si>
    <t>Q29-您知道杭州国际博览中心室内导航系统评价？</t>
  </si>
  <si>
    <t>Q30-请问您对杭州国际博览中心室内导航系统评价如何？请用1-10分打分。-室内导航(满意度)</t>
  </si>
  <si>
    <t>Q30-请问您对杭州国际博览中心室内导航系统评价如何？请用1-10分打分。-室内导航(重要性)</t>
  </si>
  <si>
    <t>Q31-您知道杭州国际博览中心寻车系统评价？</t>
  </si>
  <si>
    <t>Q32-请问您对杭州国际博览中心寻车系统评价？请用1-10分打分。-寻车系统(满意度)</t>
  </si>
  <si>
    <t>Q32-请问您对杭州国际博览中心寻车系统评价？请用1-10分打分。-寻车系统(重要性)</t>
  </si>
  <si>
    <t>Q33-您知道杭州国际博览中心云上看馆吗？</t>
  </si>
  <si>
    <t>Q34-请问您对杭州国际博览中心云上看馆评价？请用1-10分打分。-云上看馆(满意度)</t>
  </si>
  <si>
    <t>Q34-请问您对杭州国际博览中心云上看馆评价？请用1-10分打分。-云上看馆(重要性)</t>
  </si>
  <si>
    <t>Q35-请问您对本次展览服务的总体满意程度如何？【单选】 请用1-10分打分。—满意度</t>
  </si>
  <si>
    <t>Q36-本次展览的服务是否有达到您的预期？—满意度</t>
  </si>
  <si>
    <r>
      <rPr>
        <sz val="11"/>
        <color rgb="FF000000"/>
        <rFont val="等线"/>
        <family val="4"/>
        <charset val="134"/>
      </rPr>
      <t>Q37-</t>
    </r>
    <r>
      <rPr>
        <sz val="11"/>
        <color rgb="FF000000"/>
        <rFont val="等线"/>
        <family val="4"/>
        <charset val="134"/>
      </rPr>
      <t xml:space="preserve">
</t>
    </r>
    <r>
      <rPr>
        <sz val="11"/>
        <color rgb="FF000000"/>
        <rFont val="等线"/>
        <family val="4"/>
        <charset val="134"/>
      </rPr>
      <t>您觉得在杭州市举办会展活动的整体环境（政策、便利、效果）如何？【单选】 请用1-10分打分。</t>
    </r>
    <r>
      <rPr>
        <sz val="11"/>
        <color rgb="FF000000"/>
        <rFont val="等线"/>
        <family val="4"/>
        <charset val="134"/>
      </rPr>
      <t xml:space="preserve">
</t>
    </r>
    <r>
      <rPr>
        <sz val="11"/>
        <color rgb="FF000000"/>
        <rFont val="等线"/>
        <family val="4"/>
        <charset val="134"/>
      </rPr>
      <t>-整体环境（政策、便利、效果）(满意度)</t>
    </r>
  </si>
  <si>
    <t>Q38-您是否有在国内其他城市主办过会展活动？【跳转题型】</t>
  </si>
  <si>
    <r>
      <rPr>
        <sz val="11"/>
        <color rgb="FF000000"/>
        <rFont val="等线"/>
        <family val="4"/>
        <charset val="134"/>
      </rPr>
      <t>Q39-</t>
    </r>
    <r>
      <rPr>
        <sz val="11"/>
        <color rgb="FF000000"/>
        <rFont val="等线"/>
        <family val="4"/>
        <charset val="134"/>
      </rPr>
      <t xml:space="preserve">
</t>
    </r>
    <r>
      <rPr>
        <sz val="11"/>
        <color rgb="FF000000"/>
        <rFont val="等线"/>
        <family val="4"/>
        <charset val="134"/>
      </rPr>
      <t>您觉得在杭州市举办会展活动与其他城市相比不同点有哪些？【开放题】</t>
    </r>
    <r>
      <rPr>
        <sz val="11"/>
        <color rgb="FF000000"/>
        <rFont val="等线"/>
        <family val="4"/>
        <charset val="134"/>
      </rPr>
      <t xml:space="preserve">
</t>
    </r>
  </si>
  <si>
    <r>
      <rPr>
        <sz val="11"/>
        <color rgb="FF000000"/>
        <rFont val="等线"/>
        <family val="4"/>
        <charset val="134"/>
      </rPr>
      <t>Q40-</t>
    </r>
    <r>
      <rPr>
        <sz val="11"/>
        <color rgb="FF000000"/>
        <rFont val="等线"/>
        <family val="4"/>
        <charset val="134"/>
      </rPr>
      <t xml:space="preserve">
</t>
    </r>
    <r>
      <rPr>
        <sz val="11"/>
        <color rgb="FF000000"/>
        <rFont val="等线"/>
        <family val="4"/>
        <charset val="134"/>
      </rPr>
      <t>您是否会再次选择杭州国际博览中心举办活动？【单选】</t>
    </r>
    <r>
      <rPr>
        <sz val="11"/>
        <color rgb="FF000000"/>
        <rFont val="等线"/>
        <family val="4"/>
        <charset val="134"/>
      </rPr>
      <t xml:space="preserve">
</t>
    </r>
  </si>
  <si>
    <r>
      <rPr>
        <sz val="11"/>
        <color rgb="FF000000"/>
        <rFont val="等线"/>
        <family val="4"/>
        <charset val="134"/>
      </rPr>
      <t>Q41-</t>
    </r>
    <r>
      <rPr>
        <sz val="11"/>
        <color rgb="FF000000"/>
        <rFont val="等线"/>
        <family val="4"/>
        <charset val="134"/>
      </rPr>
      <t xml:space="preserve">
</t>
    </r>
    <r>
      <rPr>
        <sz val="11"/>
        <color rgb="FF000000"/>
        <rFont val="等线"/>
        <family val="4"/>
        <charset val="134"/>
      </rPr>
      <t>您是否会再次选择杭州国际博览中心参展？【单选】</t>
    </r>
    <r>
      <rPr>
        <sz val="11"/>
        <color rgb="FF000000"/>
        <rFont val="等线"/>
        <family val="4"/>
        <charset val="134"/>
      </rPr>
      <t xml:space="preserve">
</t>
    </r>
  </si>
  <si>
    <r>
      <rPr>
        <sz val="11"/>
        <color rgb="FF000000"/>
        <rFont val="等线"/>
        <family val="4"/>
        <charset val="134"/>
      </rPr>
      <t>Q42-</t>
    </r>
    <r>
      <rPr>
        <sz val="11"/>
        <color rgb="FF000000"/>
        <rFont val="等线"/>
        <family val="4"/>
        <charset val="134"/>
      </rPr>
      <t xml:space="preserve">
</t>
    </r>
    <r>
      <rPr>
        <sz val="11"/>
        <color rgb="FF000000"/>
        <rFont val="等线"/>
        <family val="4"/>
        <charset val="134"/>
      </rPr>
      <t>您是否会向其他人推荐杭州国际博览中心？【单选】</t>
    </r>
    <r>
      <rPr>
        <sz val="11"/>
        <color rgb="FF000000"/>
        <rFont val="等线"/>
        <family val="4"/>
        <charset val="134"/>
      </rPr>
      <t xml:space="preserve">
</t>
    </r>
  </si>
  <si>
    <r>
      <rPr>
        <sz val="11"/>
        <color rgb="FF000000"/>
        <rFont val="等线"/>
        <family val="4"/>
        <charset val="134"/>
      </rPr>
      <t>Q43-</t>
    </r>
    <r>
      <rPr>
        <sz val="11"/>
        <color rgb="FF000000"/>
        <rFont val="等线"/>
        <family val="4"/>
        <charset val="134"/>
      </rPr>
      <t xml:space="preserve">
</t>
    </r>
    <r>
      <rPr>
        <sz val="11"/>
        <color rgb="FF000000"/>
        <rFont val="等线"/>
        <family val="4"/>
        <charset val="134"/>
      </rPr>
      <t>请问您对杭州国际博览中心的评价或建议？【开放题】</t>
    </r>
    <r>
      <rPr>
        <sz val="11"/>
        <color rgb="FF000000"/>
        <rFont val="等线"/>
        <family val="4"/>
        <charset val="134"/>
      </rPr>
      <t xml:space="preserve">
</t>
    </r>
  </si>
  <si>
    <t>扩展字段</t>
  </si>
  <si>
    <t>用户ID</t>
  </si>
  <si>
    <t>修改用户</t>
  </si>
  <si>
    <t>提交时间</t>
  </si>
  <si>
    <t>修改时间</t>
  </si>
  <si>
    <t>录音</t>
  </si>
  <si>
    <t>填表时长</t>
  </si>
  <si>
    <t>开始填表时间</t>
  </si>
  <si>
    <t>待审核的任务id</t>
  </si>
  <si>
    <t>上次审核的任务id</t>
  </si>
  <si>
    <t>层级列表</t>
  </si>
  <si>
    <t>待审核的用户</t>
  </si>
  <si>
    <t>填表地址</t>
  </si>
  <si>
    <t>用户名称</t>
  </si>
  <si>
    <t>展览主承办</t>
  </si>
  <si>
    <t>指标</t>
  </si>
  <si>
    <t>满意度</t>
  </si>
  <si>
    <t>重要性</t>
  </si>
  <si>
    <t>会展服务</t>
  </si>
  <si>
    <t>销售经理服务态度</t>
  </si>
  <si>
    <t>销售经理业务能力</t>
  </si>
  <si>
    <t>现场对接协调沟通</t>
  </si>
  <si>
    <t>现场对接服务效率</t>
  </si>
  <si>
    <t>工作人员仪容仪表</t>
  </si>
  <si>
    <t>工作人员服务态度</t>
  </si>
  <si>
    <t>工作人员业务技能</t>
  </si>
  <si>
    <t>报馆流程及服务</t>
  </si>
  <si>
    <t>现场布置与搭建</t>
  </si>
  <si>
    <t>在线服务渠道便捷</t>
  </si>
  <si>
    <t>撤展服务</t>
  </si>
  <si>
    <t>展后回访</t>
  </si>
  <si>
    <t>整体协调和配合</t>
  </si>
  <si>
    <t>服务响应及时性</t>
  </si>
  <si>
    <t>设备租赁</t>
  </si>
  <si>
    <t>硬件设施</t>
  </si>
  <si>
    <t>园区停车方便</t>
  </si>
  <si>
    <t>交通便利，容易到达</t>
  </si>
  <si>
    <t>交通流线</t>
  </si>
  <si>
    <t>货运通道</t>
  </si>
  <si>
    <t>标识标牌清晰</t>
  </si>
  <si>
    <t>设施设备齐全</t>
  </si>
  <si>
    <t>展厅使用情况</t>
  </si>
  <si>
    <t>配套服务</t>
  </si>
  <si>
    <t>餐饮服务</t>
  </si>
  <si>
    <t>客房服务</t>
  </si>
  <si>
    <t>安保服务</t>
  </si>
  <si>
    <t>保洁服务</t>
  </si>
  <si>
    <t>智慧场馆</t>
  </si>
  <si>
    <t>杭州国博APP</t>
  </si>
  <si>
    <t>室内导航系统</t>
  </si>
  <si>
    <t>寻车系统</t>
  </si>
  <si>
    <t>云上看馆</t>
  </si>
  <si>
    <t>参展商</t>
  </si>
  <si>
    <t>会场服务</t>
  </si>
  <si>
    <t>接待引导服务</t>
  </si>
  <si>
    <t>参展环境</t>
  </si>
  <si>
    <t>专业观众</t>
  </si>
  <si>
    <t>展会路线安排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</si>
</sst>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indexed="8"/>
      <name val="宋体"/>
      <charset val="134"/>
      <scheme val="minor"/>
    </font>
    <font>
      <sz val="11"/>
      <color rgb="FF3F3F76"/>
      <name val="宋体"/>
      <family val="3"/>
      <charset val="134"/>
      <scheme val="minor"/>
    </font>
    <font>
      <sz val="10"/>
      <name val="Arial"/>
      <family val="2"/>
    </font>
    <font>
      <sz val="11"/>
      <color rgb="FF006100"/>
      <name val="宋体"/>
      <family val="3"/>
      <charset val="134"/>
      <scheme val="minor"/>
    </font>
    <font>
      <sz val="11"/>
      <color rgb="FF3F3F76"/>
      <name val="宋体"/>
      <family val="3"/>
      <charset val="134"/>
    </font>
    <font>
      <sz val="10"/>
      <color rgb="FF000000"/>
      <name val="Arial"/>
      <family val="2"/>
    </font>
    <font>
      <sz val="11"/>
      <color rgb="FF006100"/>
      <name val="宋体"/>
      <family val="3"/>
      <charset val="134"/>
    </font>
    <font>
      <sz val="12"/>
      <color rgb="FF000000"/>
      <name val="宋体"/>
      <family val="3"/>
      <charset val="134"/>
    </font>
    <font>
      <sz val="11"/>
      <color rgb="FF000000"/>
      <name val="等线"/>
      <family val="4"/>
      <charset val="134"/>
    </font>
    <font>
      <sz val="9"/>
      <name val="宋体"/>
      <family val="3"/>
      <charset val="134"/>
      <scheme val="minor"/>
    </font>
    <font>
      <sz val="12"/>
      <color rgb="FF0D0D0D"/>
      <name val="Menlo"/>
      <family val="2"/>
    </font>
  </fonts>
  <fills count="5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0C0C0"/>
        <bgColor rgb="FF000000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1" fillId="2" borderId="1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2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10" fillId="0" borderId="0" xfId="0" applyFont="1">
      <alignment vertical="center"/>
    </xf>
  </cellXfs>
  <cellStyles count="3">
    <cellStyle name="常规" xfId="0" builtinId="0"/>
    <cellStyle name="好" xfId="2" builtinId="26"/>
    <cellStyle name="输入" xfId="1" builtinId="2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CY1"/>
  <sheetViews>
    <sheetView topLeftCell="F1" zoomScale="94" zoomScaleNormal="84" workbookViewId="0">
      <selection activeCell="K1" sqref="K1"/>
    </sheetView>
  </sheetViews>
  <sheetFormatPr baseColWidth="10" defaultColWidth="9" defaultRowHeight="14"/>
  <cols>
    <col min="1" max="103" width="7.6640625" customWidth="1"/>
  </cols>
  <sheetData>
    <row r="1" spans="1:103" ht="1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  <c r="BN1" s="10" t="s">
        <v>65</v>
      </c>
      <c r="BO1" s="10" t="s">
        <v>66</v>
      </c>
      <c r="BP1" s="10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0" t="s">
        <v>97</v>
      </c>
      <c r="CU1" s="10" t="s">
        <v>98</v>
      </c>
      <c r="CV1" s="10" t="s">
        <v>99</v>
      </c>
      <c r="CW1" s="10" t="s">
        <v>100</v>
      </c>
      <c r="CX1" s="10" t="s">
        <v>101</v>
      </c>
      <c r="CY1" s="10" t="s">
        <v>102</v>
      </c>
    </row>
  </sheetData>
  <phoneticPr fontId="9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C36"/>
  <sheetViews>
    <sheetView zoomScale="117" zoomScaleNormal="50" workbookViewId="0">
      <selection activeCell="C30" sqref="C30"/>
    </sheetView>
  </sheetViews>
  <sheetFormatPr baseColWidth="10" defaultColWidth="8.83203125" defaultRowHeight="14"/>
  <cols>
    <col min="1" max="1" width="19.1640625" style="1" customWidth="1"/>
    <col min="2" max="3" width="8.83203125" style="1"/>
  </cols>
  <sheetData>
    <row r="1" spans="1:3">
      <c r="A1" s="5" t="s">
        <v>103</v>
      </c>
      <c r="B1" s="5" t="str">
        <f>IFERROR(ROUND(AVERAGE(B3,B19,B27,B32),2),"")</f>
        <v/>
      </c>
      <c r="C1" s="5" t="str">
        <f>IFERROR(ROUND(AVERAGE(C3,C19,C27,C32),2),"")</f>
        <v/>
      </c>
    </row>
    <row r="2" spans="1:3" ht="15">
      <c r="A2" s="8" t="s">
        <v>104</v>
      </c>
      <c r="B2" s="1" t="s">
        <v>105</v>
      </c>
      <c r="C2" s="1" t="s">
        <v>106</v>
      </c>
    </row>
    <row r="3" spans="1:3">
      <c r="A3" s="7" t="s">
        <v>107</v>
      </c>
      <c r="B3" s="7" t="str">
        <f>IFERROR(ROUND(AVERAGE(B4:B18),2),"")</f>
        <v/>
      </c>
      <c r="C3" s="7" t="str">
        <f>IFERROR(ROUND(AVERAGE(C4:C18),2),"")</f>
        <v/>
      </c>
    </row>
    <row r="4" spans="1:3">
      <c r="A4" s="6" t="s">
        <v>108</v>
      </c>
      <c r="B4" s="1" t="str">
        <f>IFERROR(ROUND(AVERAGEIFS(问卷数据!AE:AE,问卷数据!$E:$E,$A$1,问卷数据!AE:AE,"&gt;0",问卷数据!AE:AE,"&lt;11"),2),"")</f>
        <v/>
      </c>
      <c r="C4" s="1" t="str">
        <f>IFERROR(ROUND(AVERAGEIFS(问卷数据!AF:AF,问卷数据!$E:$E,$A$1,问卷数据!AF:AF,"&gt;0",问卷数据!AF:AF,"&lt;11"),2),"")</f>
        <v/>
      </c>
    </row>
    <row r="5" spans="1:3">
      <c r="A5" s="6" t="s">
        <v>109</v>
      </c>
      <c r="B5" s="1" t="str">
        <f>IFERROR(ROUND(AVERAGEIFS(问卷数据!AG:AG,问卷数据!$E:$E,$A$1,问卷数据!AG:AG,"&gt;0",问卷数据!AG:AG,"&lt;11"),2),"")</f>
        <v/>
      </c>
      <c r="C5" s="1" t="str">
        <f>IFERROR(ROUND(AVERAGEIFS(问卷数据!AH:AH,问卷数据!$E:$E,$A$1,问卷数据!AH:AH,"&gt;0",问卷数据!AH:AH,"&lt;11"),2),"")</f>
        <v/>
      </c>
    </row>
    <row r="6" spans="1:3">
      <c r="A6" s="6" t="s">
        <v>110</v>
      </c>
      <c r="B6" s="1" t="str">
        <f>IFERROR(ROUND(AVERAGEIFS(问卷数据!AI:AI,问卷数据!$E:$E,$A$1,问卷数据!AI:AI,"&gt;0",问卷数据!AI:AI,"&lt;11"),2),"")</f>
        <v/>
      </c>
      <c r="C6" s="1" t="str">
        <f>IFERROR(ROUND(AVERAGEIFS(问卷数据!AJ:AJ,问卷数据!$E:$E,$A$1,问卷数据!AJ:AJ,"&gt;0",问卷数据!AJ:AJ,"&lt;11"),2),"")</f>
        <v/>
      </c>
    </row>
    <row r="7" spans="1:3">
      <c r="A7" s="6" t="s">
        <v>111</v>
      </c>
      <c r="B7" s="1" t="str">
        <f>IFERROR(ROUND(AVERAGEIFS(问卷数据!AK:AK,问卷数据!$E:$E,$A$1,问卷数据!AK:AK,"&gt;0",问卷数据!AK:AK,"&lt;11"),2),"")</f>
        <v/>
      </c>
      <c r="C7" s="1" t="str">
        <f>IFERROR(ROUND(AVERAGEIFS(问卷数据!AL:AL,问卷数据!$E:$E,$A$1,问卷数据!AL:AL,"&gt;0",问卷数据!AL:AL,"&lt;11"),2),"")</f>
        <v/>
      </c>
    </row>
    <row r="8" spans="1:3">
      <c r="A8" s="6" t="s">
        <v>112</v>
      </c>
      <c r="B8" s="1" t="str">
        <f>IFERROR(ROUND(AVERAGEIFS(问卷数据!$AM:$AM,问卷数据!$E:$E,$A$1,问卷数据!$AM:$AM,"&gt;0",问卷数据!$AM:$AM,"&lt;11"),2),"")</f>
        <v/>
      </c>
      <c r="C8" s="1" t="str">
        <f>IFERROR(ROUND(AVERAGEIFS(问卷数据!$AN:$AN,问卷数据!$E:$E,$A$1,问卷数据!$AN:$AN,"&gt;0",问卷数据!$AN:$AN,"&lt;11"),2),"")</f>
        <v/>
      </c>
    </row>
    <row r="9" spans="1:3">
      <c r="A9" s="6" t="s">
        <v>113</v>
      </c>
      <c r="B9" s="1" t="str">
        <f>IFERROR(ROUND(AVERAGEIFS(问卷数据!$AO:$AO,问卷数据!$E:$E,$A$1,问卷数据!$AO:$AO,"&gt;0",问卷数据!$AO:$AO,"&lt;11"),2),"")</f>
        <v/>
      </c>
      <c r="C9" s="1" t="str">
        <f>IFERROR(ROUND(AVERAGEIFS(问卷数据!$AP:$AP,问卷数据!$E:$E,$A$1,问卷数据!$AP:$AP,"&gt;0",问卷数据!$AP:$AP,"&lt;11"),2),"")</f>
        <v/>
      </c>
    </row>
    <row r="10" spans="1:3">
      <c r="A10" s="6" t="s">
        <v>114</v>
      </c>
      <c r="B10" s="1" t="str">
        <f>IFERROR(ROUND(AVERAGEIFS(问卷数据!$AQ:$AQ,问卷数据!$E:$E,$A$1,问卷数据!$AQ:$AQ,"&gt;0",问卷数据!$AQ:$AQ,"&lt;11"),2),"")</f>
        <v/>
      </c>
      <c r="C10" s="1" t="str">
        <f>IFERROR(ROUND(AVERAGEIFS(问卷数据!$AR:$AR,问卷数据!$E:$E,$A$1,问卷数据!$AR:$AR,"&gt;0",问卷数据!$AR:$AR,"&lt;11"),2),"")</f>
        <v/>
      </c>
    </row>
    <row r="11" spans="1:3" ht="16">
      <c r="A11" s="6" t="s">
        <v>115</v>
      </c>
      <c r="B11" s="1" t="str">
        <f>IFERROR(ROUND(AVERAGEIFS(问卷数据!$AW:$AW,问卷数据!$E:$E,$A$1,问卷数据!$AW:$AW,"&gt;0",问卷数据!$AW:$AW,"&lt;11"),2),"")</f>
        <v/>
      </c>
      <c r="C11" s="11" t="str">
        <f>IFERROR(ROUND(AVERAGEIFS(问卷数据!AX:AX,问卷数据!$E:$E,$A$1,问卷数据!AX:AX,"&gt;0",问卷数据!AX:AX,"&lt;11"),2),"")</f>
        <v/>
      </c>
    </row>
    <row r="12" spans="1:3">
      <c r="A12" s="6" t="s">
        <v>116</v>
      </c>
      <c r="B12" s="1" t="str">
        <f>IFERROR(ROUND(AVERAGEIFS(问卷数据!BA:BA,问卷数据!$E:$E,$A$1,问卷数据!BA:BA,"&gt;0",问卷数据!BA:BA,"&lt;11"),2),"")</f>
        <v/>
      </c>
      <c r="C12" s="1" t="str">
        <f>IFERROR(ROUND(AVERAGEIFS(问卷数据!BB:BB,问卷数据!$E:$E,$A$1,问卷数据!BB:BB,"&gt;0",问卷数据!BB:BB,"&lt;11"),2),"")</f>
        <v/>
      </c>
    </row>
    <row r="13" spans="1:3">
      <c r="A13" s="6" t="s">
        <v>117</v>
      </c>
      <c r="B13" s="1" t="str">
        <f>IFERROR(ROUND(AVERAGEIFS(问卷数据!AY:AY,问卷数据!$E:$E,$A$1,问卷数据!AY:AY,"&gt;0",问卷数据!AY:AY,"&lt;11"),2),"")</f>
        <v/>
      </c>
      <c r="C13" s="1" t="str">
        <f>IFERROR(ROUND(AVERAGEIFS(问卷数据!AZ:AZ,问卷数据!$E:$E,$A$1,问卷数据!AZ:AZ,"&gt;0",问卷数据!AZ:AZ,"&lt;11"),2),"")</f>
        <v/>
      </c>
    </row>
    <row r="14" spans="1:3">
      <c r="A14" s="6" t="s">
        <v>118</v>
      </c>
      <c r="B14" s="1" t="str">
        <f>IFERROR(ROUND(AVERAGEIFS(问卷数据!BC:BC,问卷数据!$E:$E,$A$1,问卷数据!BC:BC,"&gt;0",问卷数据!BC:BC,"&lt;11"),2),"")</f>
        <v/>
      </c>
      <c r="C14" s="1" t="str">
        <f>IFERROR(ROUND(AVERAGEIFS(问卷数据!BD:BD,问卷数据!$E:$E,$A$1,问卷数据!BD:BD,"&gt;0",问卷数据!BD:BD,"&lt;11"),2),"")</f>
        <v/>
      </c>
    </row>
    <row r="15" spans="1:3">
      <c r="A15" s="6" t="s">
        <v>119</v>
      </c>
      <c r="B15" s="1" t="str">
        <f>IFERROR(ROUND(AVERAGEIFS(问卷数据!BE:BE,问卷数据!$E:$E,$A$1,问卷数据!BE:BE,"&gt;0",问卷数据!BE:BE,"&lt;11"),2),"")</f>
        <v/>
      </c>
      <c r="C15" s="1" t="str">
        <f>IFERROR(ROUND(AVERAGEIFS(问卷数据!BF:BF,问卷数据!$E:$E,$A$1,问卷数据!BF:BF,"&gt;0",问卷数据!BF:BF,"&lt;11"),2),"")</f>
        <v/>
      </c>
    </row>
    <row r="16" spans="1:3">
      <c r="A16" s="6" t="s">
        <v>120</v>
      </c>
      <c r="B16" s="1" t="str">
        <f>IFERROR(ROUND(AVERAGEIFS(问卷数据!AU:AU,问卷数据!$E:$E,$A$1,问卷数据!AU:AU,"&gt;0",问卷数据!AU:AU,"&lt;11"),2),"")</f>
        <v/>
      </c>
      <c r="C16" s="1" t="str">
        <f>IFERROR(ROUND(AVERAGEIFS(问卷数据!AV:AV,问卷数据!$E:$E,$A$1,问卷数据!AV:AV,"&gt;0",问卷数据!AV:AV,"&lt;11"),2),"")</f>
        <v/>
      </c>
    </row>
    <row r="17" spans="1:3">
      <c r="A17" s="6" t="s">
        <v>121</v>
      </c>
      <c r="B17" s="1" t="str">
        <f>IFERROR(ROUND(AVERAGEIFS(问卷数据!AS:AS,问卷数据!$E:$E,$A$1,问卷数据!AS:AS,"&gt;0",问卷数据!AS:AS,"&lt;11"),2),"")</f>
        <v/>
      </c>
      <c r="C17" s="1" t="str">
        <f>IFERROR(ROUND(AVERAGEIFS(问卷数据!AT:AT,问卷数据!$E:$E,$A$1,问卷数据!AT:AT,"&gt;0",问卷数据!AT:AT,"&lt;11"),2),"")</f>
        <v/>
      </c>
    </row>
    <row r="18" spans="1:3">
      <c r="A18" s="6" t="s">
        <v>122</v>
      </c>
      <c r="B18" s="1" t="str">
        <f>IFERROR(ROUND(AVERAGEIFS(问卷数据!AA:AA,问卷数据!$E:$E,$A$1,问卷数据!AA:AA,"&gt;0",问卷数据!AA:AA,"&lt;11"),2),"")</f>
        <v/>
      </c>
      <c r="C18" s="1" t="str">
        <f>IFERROR(ROUND(AVERAGEIFS(问卷数据!AB:AB,问卷数据!$E:$E,$A$1,问卷数据!AB:AB,"&gt;0",问卷数据!AB:AB,"&lt;11"),2),"")</f>
        <v/>
      </c>
    </row>
    <row r="19" spans="1:3">
      <c r="A19" s="7" t="s">
        <v>123</v>
      </c>
      <c r="B19" s="7" t="str">
        <f>IFERROR(ROUND(AVERAGE(B20:B26),2),"")</f>
        <v/>
      </c>
      <c r="C19" s="7" t="str">
        <f>IFERROR(ROUND(AVERAGE(C20:C26),2),"")</f>
        <v/>
      </c>
    </row>
    <row r="20" spans="1:3">
      <c r="A20" s="6" t="s">
        <v>124</v>
      </c>
      <c r="B20" s="1" t="str">
        <f>IFERROR(ROUND(AVERAGEIFS(问卷数据!$O:$O,问卷数据!$E:$E,$A$1,问卷数据!$O:$O,"&gt;0",问卷数据!$O:$O,"&lt;11"),2),"")</f>
        <v/>
      </c>
      <c r="C20" s="1" t="str">
        <f>IFERROR(ROUND(AVERAGEIFS(问卷数据!$P:$P,问卷数据!$E:$E,$A$1,问卷数据!$P:$P,"&gt;0",问卷数据!$P:$P,"&lt;11"),2),"")</f>
        <v/>
      </c>
    </row>
    <row r="21" spans="1:3">
      <c r="A21" s="6" t="s">
        <v>125</v>
      </c>
      <c r="B21" s="1" t="str">
        <f>IFERROR(ROUND(AVERAGEIFS(问卷数据!$M:$M,问卷数据!$E:$E,$A$1,问卷数据!$M:$M,"&gt;0",问卷数据!$M:$M,"&lt;11"),2),"")</f>
        <v/>
      </c>
      <c r="C21" s="1" t="str">
        <f>IFERROR(ROUND(AVERAGEIFS(问卷数据!$N:$N,问卷数据!$E:$E,$A$1,问卷数据!$N:$N,"&gt;0",问卷数据!$N:$N,"&lt;11"),2),"")</f>
        <v/>
      </c>
    </row>
    <row r="22" spans="1:3" ht="16">
      <c r="A22" s="6" t="s">
        <v>126</v>
      </c>
      <c r="B22" s="1" t="str">
        <f>IFERROR(ROUND(AVERAGEIFS(问卷数据!$K:$K,问卷数据!$E:$E,$A$1,问卷数据!$K:$K,"&gt;0",问卷数据!$K:$K,"&lt;11"),2),"")</f>
        <v/>
      </c>
      <c r="C22" s="11" t="str">
        <f>IFERROR(ROUND(AVERAGEIFS(问卷数据!$L:$L,问卷数据!$E:$E,$A$1,问卷数据!$L:$L,"&gt;0",问卷数据!$L:$L,"&lt;11"),2),"")</f>
        <v/>
      </c>
    </row>
    <row r="23" spans="1:3" ht="16">
      <c r="A23" s="6" t="s">
        <v>127</v>
      </c>
      <c r="B23" s="1" t="str">
        <f>IFERROR(ROUND(AVERAGEIFS(问卷数据!$U:$U,问卷数据!$E:$E,$A$1,问卷数据!$U:$U,"&gt;0",问卷数据!$U:$U,"&lt;11"),2),"")</f>
        <v/>
      </c>
      <c r="C23" s="11" t="str">
        <f>IFERROR(ROUND(AVERAGEIFS(问卷数据!$V:$V,问卷数据!$E:$E,$A$1,问卷数据!$V:$V,"&gt;0",问卷数据!$V:$V,"&lt;11"),2),"")</f>
        <v/>
      </c>
    </row>
    <row r="24" spans="1:3">
      <c r="A24" s="6" t="s">
        <v>128</v>
      </c>
      <c r="B24" s="1" t="str">
        <f>IFERROR(ROUND(AVERAGEIFS(问卷数据!$S:$S,问卷数据!$E:$E,$A$1,问卷数据!$S:$S,"&gt;0",问卷数据!$S:$S,"&lt;11"),2),"")</f>
        <v/>
      </c>
      <c r="C24" s="1" t="str">
        <f>IFERROR(ROUND(AVERAGEIFS(问卷数据!$T:$T,问卷数据!$E:$E,$A$1,问卷数据!$T:$T,"&gt;0",问卷数据!$T:$T,"&lt;11"),2),"")</f>
        <v/>
      </c>
    </row>
    <row r="25" spans="1:3" ht="16">
      <c r="A25" s="6" t="s">
        <v>129</v>
      </c>
      <c r="B25" s="1" t="str">
        <f>IFERROR(ROUND(AVERAGEIFS(问卷数据!$W:$W,问卷数据!$E:$E,$A$1,问卷数据!$W:$W,"&gt;0",问卷数据!$W:$W,"&lt;11"),2),"")</f>
        <v/>
      </c>
      <c r="C25" s="11" t="str">
        <f>IFERROR(ROUND(AVERAGEIFS(问卷数据!X:X,问卷数据!$E:$E,$A$1,问卷数据!X:X,"&gt;0",问卷数据!X:X,"&lt;11"),2),"")</f>
        <v/>
      </c>
    </row>
    <row r="26" spans="1:3">
      <c r="A26" s="6" t="s">
        <v>130</v>
      </c>
      <c r="B26" s="1" t="str">
        <f>IFERROR(ROUND(AVERAGEIFS(问卷数据!$Y:$Y,问卷数据!$E:$E,$A$1,问卷数据!$Y:$Y,"&gt;0",问卷数据!$Y:$Y,"&lt;11"),2),"")</f>
        <v/>
      </c>
      <c r="C26" s="1" t="str">
        <f>IFERROR(ROUND(AVERAGEIFS(问卷数据!$Z:$Z,问卷数据!$E:$E,$A$1,问卷数据!$Z:$Z,"&gt;0",问卷数据!$Z:$Z,"&lt;11"),2),"")</f>
        <v/>
      </c>
    </row>
    <row r="27" spans="1:3">
      <c r="A27" s="7" t="s">
        <v>131</v>
      </c>
      <c r="B27" s="7" t="str">
        <f>IFERROR(ROUND(AVERAGE(B28:B31),2),"")</f>
        <v/>
      </c>
      <c r="C27" s="7" t="str">
        <f>IFERROR(ROUND(AVERAGE(C28:C31),2),"")</f>
        <v/>
      </c>
    </row>
    <row r="28" spans="1:3">
      <c r="A28" s="6" t="s">
        <v>132</v>
      </c>
      <c r="B28" s="1" t="str">
        <f>IFERROR(ROUND(AVERAGEIFS(问卷数据!$BG:$BG,问卷数据!$E:$E,$A$1,问卷数据!$BG:$BG,"&gt;0",问卷数据!$BG:$BG,"&lt;11"),2),"")</f>
        <v/>
      </c>
      <c r="C28" s="1" t="str">
        <f>IFERROR(ROUND(AVERAGEIFS(问卷数据!$BH:$BH,问卷数据!$E:$E,$A$1,问卷数据!$BH:$BH,"&gt;0",问卷数据!$BH:$BH,"&lt;11"),2),"")</f>
        <v/>
      </c>
    </row>
    <row r="29" spans="1:3">
      <c r="A29" s="6" t="s">
        <v>133</v>
      </c>
      <c r="B29" s="1" t="str">
        <f>IFERROR(ROUND(AVERAGEIFS(问卷数据!$BI:$BI,问卷数据!$E:$E,$A$1,问卷数据!$BI:$BI,"&gt;0",问卷数据!$BI:$BI,"&lt;11"),2),"")</f>
        <v/>
      </c>
      <c r="C29" s="1" t="str">
        <f>IFERROR(ROUND(AVERAGEIFS(问卷数据!$BJ:$BJ,问卷数据!$E:$E,$A$1,问卷数据!$BJ:$BJ,"&gt;0",问卷数据!$BJ:$BJ,"&lt;11"),2),"")</f>
        <v/>
      </c>
    </row>
    <row r="30" spans="1:3" ht="16">
      <c r="A30" s="6" t="s">
        <v>134</v>
      </c>
      <c r="B30" s="1" t="str">
        <f>IFERROR(ROUND(AVERAGEIFS(问卷数据!$BK:$BK,问卷数据!$E:$E,$A$1,问卷数据!$BK:$BK,"&gt;0",问卷数据!$BK:$BK,"&lt;11"),2),"")</f>
        <v/>
      </c>
      <c r="C30" s="11" t="str">
        <f>IFERROR(ROUND(AVERAGEIFS(问卷数据!BL:BL,问卷数据!$E:$E,$A$1,问卷数据!BL:BL,"&gt;0",问卷数据!BL:BL,"&lt;11"),2),"")</f>
        <v/>
      </c>
    </row>
    <row r="31" spans="1:3">
      <c r="A31" s="6" t="s">
        <v>135</v>
      </c>
      <c r="B31" s="1" t="str">
        <f>IFERROR(ROUND(AVERAGEIFS(问卷数据!$BM:$BM,问卷数据!$E:$E,$A$1,问卷数据!$BM:$BM,"&gt;0",问卷数据!$BM:$BM,"&lt;11"),2),"")</f>
        <v/>
      </c>
      <c r="C31" s="1" t="str">
        <f>IFERROR(ROUND(AVERAGEIFS(问卷数据!$BN:$BN,问卷数据!$E:$E,$A$1,问卷数据!$BN:$BN,"&gt;0",问卷数据!$BN:$BN,"&lt;11"),2),"")</f>
        <v/>
      </c>
    </row>
    <row r="32" spans="1:3">
      <c r="A32" s="7" t="s">
        <v>136</v>
      </c>
      <c r="B32" s="7" t="str">
        <f>IFERROR(ROUND(AVERAGE(B33:B36),2),"")</f>
        <v/>
      </c>
      <c r="C32" s="7" t="str">
        <f>IFERROR(ROUND(AVERAGE(C33:C36),2),"")</f>
        <v/>
      </c>
    </row>
    <row r="33" spans="1:3">
      <c r="A33" s="6" t="s">
        <v>137</v>
      </c>
      <c r="B33" s="1" t="str">
        <f>IFERROR(ROUND(AVERAGEIFS(问卷数据!$BR:$BR,问卷数据!$E:$E,$A$1,问卷数据!$BR:$BR,"&gt;0",问卷数据!$BR:$BR,"&lt;11"),2),"")</f>
        <v/>
      </c>
      <c r="C33" s="1" t="str">
        <f>IFERROR(ROUND(AVERAGEIFS(问卷数据!$BS:$BS,问卷数据!$E:$E,$A$1,问卷数据!$BS:$BS,"&gt;0",问卷数据!$BS:$BS,"&lt;11"),2),"")</f>
        <v/>
      </c>
    </row>
    <row r="34" spans="1:3">
      <c r="A34" s="6" t="s">
        <v>138</v>
      </c>
      <c r="B34" s="1" t="str">
        <f>IFERROR(ROUND(AVERAGEIFS(问卷数据!BU:BU,问卷数据!$E:$E,$A$1,问卷数据!BU:BU,"&gt;0",问卷数据!BU:BU,"&lt;11"),2),"")</f>
        <v/>
      </c>
      <c r="C34" s="1" t="str">
        <f>IFERROR(ROUND(AVERAGEIFS(问卷数据!BV:BV,问卷数据!$E:$E,$A$1,问卷数据!BV:BV,"&gt;0",问卷数据!BV:BV,"&lt;11"),2),"")</f>
        <v/>
      </c>
    </row>
    <row r="35" spans="1:3">
      <c r="A35" s="6" t="s">
        <v>139</v>
      </c>
      <c r="B35" s="1" t="str">
        <f>IFERROR(ROUND(AVERAGEIFS(问卷数据!$BX:$BX,问卷数据!$E:$E,$A$1,问卷数据!$BX:$BX,"&gt;0",问卷数据!$BX:$BX,"&lt;11"),2),"")</f>
        <v/>
      </c>
      <c r="C35" s="1" t="str">
        <f>IFERROR(ROUND(AVERAGEIFS(问卷数据!$BY:$BY,问卷数据!$E:$E,$A$1,问卷数据!$BY:$BY,"&gt;0",问卷数据!$BY:$BY,"&lt;11"),2),"")</f>
        <v/>
      </c>
    </row>
    <row r="36" spans="1:3">
      <c r="A36" s="6" t="s">
        <v>140</v>
      </c>
      <c r="B36" s="1" t="str">
        <f>IFERROR(ROUND(AVERAGEIFS(问卷数据!$CA:$CA,问卷数据!$E:$E,$A$1,问卷数据!$CA:$CA,"&gt;0",问卷数据!$CA:$CA,"&lt;11"),2),"")</f>
        <v/>
      </c>
      <c r="C36" s="1" t="str">
        <f>IFERROR(ROUND(AVERAGEIFS(问卷数据!$CB:$CB,问卷数据!$E:$E,$A$1,问卷数据!$CB:$CB,"&gt;0",问卷数据!$CB:$CB,"&lt;11"),2),"")</f>
        <v/>
      </c>
    </row>
  </sheetData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C25"/>
  <sheetViews>
    <sheetView tabSelected="1" zoomScale="82" zoomScaleNormal="49" workbookViewId="0">
      <selection activeCell="B8" sqref="B8"/>
    </sheetView>
  </sheetViews>
  <sheetFormatPr baseColWidth="10" defaultColWidth="8.83203125" defaultRowHeight="14"/>
  <cols>
    <col min="1" max="1" width="20.83203125" style="1" customWidth="1"/>
    <col min="2" max="3" width="8.83203125" style="1"/>
  </cols>
  <sheetData>
    <row r="1" spans="1:3">
      <c r="A1" s="5" t="s">
        <v>141</v>
      </c>
      <c r="B1" s="5" t="str">
        <f>IFERROR(ROUND(AVERAGE(B3,B9,B16,B21),2),"")</f>
        <v/>
      </c>
      <c r="C1" s="5" t="str">
        <f>IFERROR(ROUND(AVERAGE(C3,C9,C16,C21),2),"")</f>
        <v/>
      </c>
    </row>
    <row r="2" spans="1:3">
      <c r="A2" s="6" t="s">
        <v>104</v>
      </c>
      <c r="B2" s="1" t="s">
        <v>105</v>
      </c>
      <c r="C2" s="1" t="s">
        <v>106</v>
      </c>
    </row>
    <row r="3" spans="1:3">
      <c r="A3" s="7" t="s">
        <v>142</v>
      </c>
      <c r="B3" s="7" t="str">
        <f>IFERROR(ROUND(AVERAGE(B4:B8),2),"")</f>
        <v/>
      </c>
      <c r="C3" s="7" t="str">
        <f>IFERROR(ROUND(AVERAGE(C4:C8),2),"")</f>
        <v/>
      </c>
    </row>
    <row r="4" spans="1:3">
      <c r="A4" s="6" t="s">
        <v>112</v>
      </c>
      <c r="B4" s="1" t="str">
        <f>IFERROR(ROUND(AVERAGEIFS(问卷数据!$AM:$AM,问卷数据!$E:$E,$A$1,问卷数据!$AM:$AM,"&gt;0",问卷数据!$AM:$AM,"&lt;11"),2),"")</f>
        <v/>
      </c>
      <c r="C4" s="1" t="str">
        <f>IFERROR(ROUND(AVERAGEIFS(问卷数据!$AN:$AN,问卷数据!$E:$E,$A$1,问卷数据!$AN:$AN,"&gt;0",问卷数据!$AN:$AN,"&lt;11"),2),"")</f>
        <v/>
      </c>
    </row>
    <row r="5" spans="1:3">
      <c r="A5" s="6" t="s">
        <v>113</v>
      </c>
      <c r="B5" s="1" t="str">
        <f>IFERROR(ROUND(AVERAGEIFS(问卷数据!$AO:$AO,问卷数据!$E:$E,$A$1,问卷数据!$AO:$AO,"&gt;0",问卷数据!$AO:$AO,"&lt;11"),2),"")</f>
        <v/>
      </c>
      <c r="C5" s="1" t="str">
        <f>IFERROR(ROUND(AVERAGEIFS(问卷数据!$AP:$AP,问卷数据!$E:$E,$A$1,问卷数据!$AP:$AP,"&gt;0",问卷数据!$AP:$AP,"&lt;11"),2),"")</f>
        <v/>
      </c>
    </row>
    <row r="6" spans="1:3">
      <c r="A6" s="6" t="s">
        <v>114</v>
      </c>
      <c r="B6" s="1" t="str">
        <f>IFERROR(ROUND(AVERAGEIFS(问卷数据!$AQ:$AQ,问卷数据!$E:$E,$A$1,问卷数据!$AQ:$AQ,"&gt;0",问卷数据!$AQ:$AQ,"&lt;11"),2),"")</f>
        <v/>
      </c>
      <c r="C6" s="1" t="str">
        <f>IFERROR(ROUND(AVERAGEIFS(问卷数据!$AR:$AR,问卷数据!$E:$E,$A$1,问卷数据!$AR:$AR,"&gt;0",问卷数据!$AR:$AR,"&lt;11"),2),"")</f>
        <v/>
      </c>
    </row>
    <row r="7" spans="1:3">
      <c r="A7" s="6" t="s">
        <v>116</v>
      </c>
      <c r="B7" s="1" t="str">
        <f>IFERROR(ROUND(AVERAGEIFS(问卷数据!BA:BA,问卷数据!$E:$E,$A$1,问卷数据!BA:BA,"&gt;0",问卷数据!BA:BA,"&lt;11"),2),"")</f>
        <v/>
      </c>
      <c r="C7" s="1" t="str">
        <f>IFERROR(ROUND(AVERAGEIFS(问卷数据!BB:BB,问卷数据!$E:$E,$A$1,问卷数据!BB:BB,"&gt;0",问卷数据!BB:BB,"&lt;11"),2),"")</f>
        <v/>
      </c>
    </row>
    <row r="8" spans="1:3">
      <c r="A8" s="6" t="s">
        <v>143</v>
      </c>
      <c r="B8" s="1" t="str">
        <f>IFERROR(ROUND(AVERAGEIFS(问卷数据!$BO:$BO,问卷数据!$E:$E,$A$1,问卷数据!$BO:$BO,"&gt;0",问卷数据!$BO:$BO,"&lt;11"),2),"")</f>
        <v/>
      </c>
      <c r="C8" s="1" t="str">
        <f>IFERROR(ROUND(AVERAGEIFS(问卷数据!$BP:$BP,问卷数据!$E:$E,$A$1,问卷数据!$BP:$BP,"&gt;0",问卷数据!$BP:$BP,"&lt;11"),2),"")</f>
        <v/>
      </c>
    </row>
    <row r="9" spans="1:3">
      <c r="A9" s="7" t="s">
        <v>123</v>
      </c>
      <c r="B9" s="7" t="str">
        <f>IFERROR(ROUND(AVERAGE(B10:B15),2),"")</f>
        <v/>
      </c>
      <c r="C9" s="7" t="str">
        <f>IFERROR(ROUND(AVERAGE(C10:C15),2),"")</f>
        <v/>
      </c>
    </row>
    <row r="10" spans="1:3">
      <c r="A10" s="6" t="s">
        <v>124</v>
      </c>
      <c r="B10" s="1" t="str">
        <f>IFERROR(ROUND(AVERAGEIFS(问卷数据!$O:$O,问卷数据!$E:$E,$A$1,问卷数据!$O:$O,"&gt;0",问卷数据!$O:$O,"&lt;11"),2),"")</f>
        <v/>
      </c>
      <c r="C10" s="1" t="str">
        <f>IFERROR(ROUND(AVERAGEIFS(问卷数据!$P:$P,问卷数据!$E:$E,$A$1,问卷数据!$P:$P,"&gt;0",问卷数据!$P:$P,"&lt;11"),2),"")</f>
        <v/>
      </c>
    </row>
    <row r="11" spans="1:3">
      <c r="A11" s="6" t="s">
        <v>125</v>
      </c>
      <c r="B11" s="1" t="str">
        <f>IFERROR(ROUND(AVERAGEIFS(问卷数据!$M:$M,问卷数据!$E:$E,$A$1,问卷数据!$M:$M,"&gt;0",问卷数据!$M:$M,"&lt;11"),2),"")</f>
        <v/>
      </c>
      <c r="C11" s="1" t="str">
        <f>IFERROR(ROUND(AVERAGEIFS(问卷数据!$N:$N,问卷数据!$E:$E,$A$1,问卷数据!$N:$N,"&gt;0",问卷数据!$N:$N,"&lt;11"),2),"")</f>
        <v/>
      </c>
    </row>
    <row r="12" spans="1:3">
      <c r="A12" s="6" t="s">
        <v>128</v>
      </c>
      <c r="B12" s="1" t="str">
        <f>IFERROR(ROUND(AVERAGEIFS(问卷数据!$S:$S,问卷数据!$E:$E,$A$1,问卷数据!$S:$S,"&gt;0",问卷数据!$S:$S,"&lt;11"),2),"")</f>
        <v/>
      </c>
      <c r="C12" s="1" t="str">
        <f>IFERROR(ROUND(AVERAGEIFS(问卷数据!$T:$T,问卷数据!$E:$E,$A$1,问卷数据!$T:$T,"&gt;0",问卷数据!$T:$T,"&lt;11"),2),"")</f>
        <v/>
      </c>
    </row>
    <row r="13" spans="1:3">
      <c r="A13" s="6" t="s">
        <v>129</v>
      </c>
      <c r="B13" s="1" t="str">
        <f>IFERROR(ROUND(AVERAGEIFS(问卷数据!$W:$W,问卷数据!$E:$E,$A$1,问卷数据!$W:$W,"&gt;0",问卷数据!$W:$W,"&lt;11"),2),"")</f>
        <v/>
      </c>
      <c r="C13" s="1" t="str">
        <f>IFERROR(ROUND(AVERAGEIFS(问卷数据!X:X,问卷数据!$E:$E,$A$1,问卷数据!X:X,"&gt;0",问卷数据!X:X,"&lt;11"),2),"")</f>
        <v/>
      </c>
    </row>
    <row r="14" spans="1:3">
      <c r="A14" s="6" t="s">
        <v>130</v>
      </c>
      <c r="B14" s="1" t="str">
        <f>IFERROR(ROUND(AVERAGEIFS(问卷数据!$Y:$Y,问卷数据!$E:$E,$A$1,问卷数据!$Y:$Y,"&gt;0",问卷数据!$Y:$Y,"&lt;11"),2),"")</f>
        <v/>
      </c>
      <c r="C14" s="1" t="str">
        <f>IFERROR(ROUND(AVERAGEIFS(问卷数据!$Z:$Z,问卷数据!$E:$E,$A$1,问卷数据!$Z:$Z,"&gt;0",问卷数据!$Z:$Z,"&lt;11"),2),"")</f>
        <v/>
      </c>
    </row>
    <row r="15" spans="1:3">
      <c r="A15" s="6" t="s">
        <v>144</v>
      </c>
      <c r="B15" s="1" t="str">
        <f>IFERROR(ROUND(AVERAGEIFS(问卷数据!$AC:$AC,问卷数据!$E:$E,$A$1,问卷数据!$AC:$AC,"&gt;0",问卷数据!$AC:$AC,"&lt;11"),2),"")</f>
        <v/>
      </c>
      <c r="C15" s="1" t="str">
        <f>IFERROR(ROUND(AVERAGEIFS(问卷数据!$AD:$AD,问卷数据!$E:$E,$A$1,问卷数据!$AD:$AD,"&gt;0",问卷数据!$AD:$AD,"&lt;11"),2),"")</f>
        <v/>
      </c>
    </row>
    <row r="16" spans="1:3">
      <c r="A16" s="7" t="s">
        <v>131</v>
      </c>
      <c r="B16" s="7" t="str">
        <f>IFERROR(ROUND(AVERAGE(B17:B20),2),"")</f>
        <v/>
      </c>
      <c r="C16" s="7" t="str">
        <f>IFERROR(ROUND(AVERAGE(C17:C20),2),"")</f>
        <v/>
      </c>
    </row>
    <row r="17" spans="1:3">
      <c r="A17" s="6" t="s">
        <v>132</v>
      </c>
      <c r="B17" s="1" t="str">
        <f>IFERROR(ROUND(AVERAGEIFS(问卷数据!$BG:$BG,问卷数据!$E:$E,$A$1,问卷数据!$BG:$BG,"&gt;0",问卷数据!$BG:$BG,"&lt;11"),2),"")</f>
        <v/>
      </c>
      <c r="C17" s="1" t="str">
        <f>IFERROR(ROUND(AVERAGEIFS(问卷数据!$BH:$BH,问卷数据!$E:$E,$A$1,问卷数据!$BH:$BH,"&gt;0",问卷数据!$BH:$BH,"&lt;11"),2),"")</f>
        <v/>
      </c>
    </row>
    <row r="18" spans="1:3">
      <c r="A18" s="6" t="s">
        <v>133</v>
      </c>
      <c r="B18" s="1" t="str">
        <f>IFERROR(ROUND(AVERAGEIFS(问卷数据!$BI:$BI,问卷数据!$E:$E,$A$1,问卷数据!$BI:$BI,"&gt;0",问卷数据!$BI:$BI,"&lt;11"),2),"")</f>
        <v/>
      </c>
      <c r="C18" s="1" t="str">
        <f>IFERROR(ROUND(AVERAGEIFS(问卷数据!$BJ:$BJ,问卷数据!$E:$E,$A$1,问卷数据!$BJ:$BJ,"&gt;0",问卷数据!$BJ:$BJ,"&lt;11"),2),"")</f>
        <v/>
      </c>
    </row>
    <row r="19" spans="1:3">
      <c r="A19" s="6" t="s">
        <v>134</v>
      </c>
      <c r="B19" s="1" t="str">
        <f>IFERROR(ROUND(AVERAGEIFS(问卷数据!$BK:$BK,问卷数据!$E:$E,$A$1,问卷数据!$BK:$BK,"&gt;0",问卷数据!$BK:$BK,"&lt;11"),2),"")</f>
        <v/>
      </c>
      <c r="C19" s="1" t="str">
        <f>IFERROR(ROUND(AVERAGEIFS(问卷数据!BL:BL,问卷数据!$E:$E,$A$1,问卷数据!BL:BL,"&gt;0",问卷数据!BL:BL,"&lt;11"),2),"")</f>
        <v/>
      </c>
    </row>
    <row r="20" spans="1:3">
      <c r="A20" s="6" t="s">
        <v>135</v>
      </c>
      <c r="B20" s="1" t="str">
        <f>IFERROR(ROUND(AVERAGEIFS(问卷数据!$BM:$BM,问卷数据!$E:$E,$A$1,问卷数据!$BM:$BM,"&gt;0",问卷数据!$BM:$BM,"&lt;11"),2),"")</f>
        <v/>
      </c>
      <c r="C20" s="1" t="str">
        <f>IFERROR(ROUND(AVERAGEIFS(问卷数据!$BN:$BN,问卷数据!$E:$E,$A$1,问卷数据!$BN:$BN,"&gt;0",问卷数据!$BN:$BN,"&lt;11"),2),"")</f>
        <v/>
      </c>
    </row>
    <row r="21" spans="1:3">
      <c r="A21" s="7" t="s">
        <v>136</v>
      </c>
      <c r="B21" s="7" t="str">
        <f>IFERROR(ROUND(AVERAGE(B22:B25),2),"")</f>
        <v/>
      </c>
      <c r="C21" s="7" t="str">
        <f>IFERROR(ROUND(AVERAGE(C22:C25),2),"")</f>
        <v/>
      </c>
    </row>
    <row r="22" spans="1:3">
      <c r="A22" s="6" t="s">
        <v>137</v>
      </c>
      <c r="B22" s="1" t="str">
        <f>IFERROR(ROUND(AVERAGEIFS(问卷数据!$BR:$BR,问卷数据!$E:$E,$A$1,问卷数据!$BR:$BR,"&gt;0",问卷数据!$BR:$BR,"&lt;11"),2),"")</f>
        <v/>
      </c>
      <c r="C22" s="1" t="str">
        <f>IFERROR(ROUND(AVERAGEIFS(问卷数据!$BS:$BS,问卷数据!$E:$E,$A$1,问卷数据!$BS:$BS,"&gt;0",问卷数据!$BS:$BS,"&lt;11"),2),"")</f>
        <v/>
      </c>
    </row>
    <row r="23" spans="1:3">
      <c r="A23" s="6" t="s">
        <v>138</v>
      </c>
      <c r="B23" s="1" t="str">
        <f>IFERROR(ROUND(AVERAGEIFS(问卷数据!BU:BU,问卷数据!$E:$E,$A$1,问卷数据!BU:BU,"&gt;0",问卷数据!BU:BU,"&lt;11"),2),"")</f>
        <v/>
      </c>
      <c r="C23" s="1" t="str">
        <f>IFERROR(ROUND(AVERAGEIFS(问卷数据!BV:BV,问卷数据!$E:$E,$A$1,问卷数据!BV:BV,"&gt;0",问卷数据!BV:BV,"&lt;11"),2),"")</f>
        <v/>
      </c>
    </row>
    <row r="24" spans="1:3">
      <c r="A24" s="6" t="s">
        <v>139</v>
      </c>
      <c r="B24" s="1" t="str">
        <f>IFERROR(ROUND(AVERAGEIFS(问卷数据!$BX:$BX,问卷数据!$E:$E,$A$1,问卷数据!$BX:$BX,"&gt;0",问卷数据!$BX:$BX,"&lt;11"),2),"")</f>
        <v/>
      </c>
      <c r="C24" s="1" t="str">
        <f>IFERROR(ROUND(AVERAGEIFS(问卷数据!$BY:$BY,问卷数据!$E:$E,$A$1,问卷数据!$BY:$BY,"&gt;0",问卷数据!$BY:$BY,"&lt;11"),2),"")</f>
        <v/>
      </c>
    </row>
    <row r="25" spans="1:3">
      <c r="A25" s="6" t="s">
        <v>140</v>
      </c>
      <c r="B25" s="1" t="str">
        <f>IFERROR(ROUND(AVERAGEIFS(问卷数据!$CA:$CA,问卷数据!$E:$E,$A$1,问卷数据!$CA:$CA,"&gt;0",问卷数据!$CA:$CA,"&lt;11"),2),"")</f>
        <v/>
      </c>
      <c r="C25" s="1" t="str">
        <f>IFERROR(ROUND(AVERAGEIFS(问卷数据!$CB:$CB,问卷数据!$E:$E,$A$1,问卷数据!$CB:$CB,"&gt;0",问卷数据!$CB:$CB,"&lt;11"),2),"")</f>
        <v/>
      </c>
    </row>
  </sheetData>
  <phoneticPr fontId="9" type="noConversion"/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3:E27"/>
  <sheetViews>
    <sheetView zoomScale="111" zoomScaleNormal="71" workbookViewId="0">
      <selection activeCell="C21" sqref="C21"/>
    </sheetView>
  </sheetViews>
  <sheetFormatPr baseColWidth="10" defaultColWidth="8.83203125" defaultRowHeight="14"/>
  <cols>
    <col min="1" max="1" width="26.1640625" style="1" customWidth="1"/>
    <col min="2" max="5" width="8.83203125" style="1"/>
  </cols>
  <sheetData>
    <row r="3" spans="1:3">
      <c r="A3" s="2" t="s">
        <v>145</v>
      </c>
      <c r="B3" s="2" t="str">
        <f>IFERROR(ROUND(AVERAGE(B5,B10,B18,B23),2),"")</f>
        <v/>
      </c>
      <c r="C3" s="2" t="str">
        <f>IFERROR(ROUND(AVERAGE(C5,C10,C18,C23),2),"")</f>
        <v/>
      </c>
    </row>
    <row r="4" spans="1:3">
      <c r="A4" s="3" t="s">
        <v>104</v>
      </c>
      <c r="B4" s="1" t="s">
        <v>105</v>
      </c>
      <c r="C4" s="1" t="s">
        <v>106</v>
      </c>
    </row>
    <row r="5" spans="1:3">
      <c r="A5" s="4" t="s">
        <v>107</v>
      </c>
      <c r="B5" s="4" t="str">
        <f>IFERROR(ROUND(AVERAGE(B6:B9),2),"")</f>
        <v/>
      </c>
      <c r="C5" s="4" t="str">
        <f>IFERROR(ROUND(AVERAGE(C6:C9),2),"")</f>
        <v/>
      </c>
    </row>
    <row r="6" spans="1:3">
      <c r="A6" s="3" t="s">
        <v>112</v>
      </c>
      <c r="B6" s="1" t="str">
        <f>IFERROR(ROUND(AVERAGEIFS(问卷数据!$AM:$AM,问卷数据!$E:$E,$A$3,问卷数据!$AM:$AM,"&gt;0",问卷数据!$AM:$AM,"&lt;11"),2),"")</f>
        <v/>
      </c>
      <c r="C6" s="1" t="str">
        <f>IFERROR(ROUND(AVERAGEIFS(问卷数据!$AN:$AN,问卷数据!$E:$E,$A$3,问卷数据!$AN:$AN,"&gt;0",问卷数据!$AN:$AN,"&lt;11"),2),"")</f>
        <v/>
      </c>
    </row>
    <row r="7" spans="1:3">
      <c r="A7" s="3" t="s">
        <v>113</v>
      </c>
      <c r="B7" s="1" t="str">
        <f>IFERROR(ROUND(AVERAGEIFS(问卷数据!$AO:$AO,问卷数据!$E:$E,$A$3,问卷数据!$AO:$AO,"&gt;0",问卷数据!$AO:$AO,"&lt;11"),2),"")</f>
        <v/>
      </c>
      <c r="C7" s="1" t="str">
        <f>IFERROR(ROUND(AVERAGEIFS(问卷数据!$AP:$AP,问卷数据!$E:$E,$A$3,问卷数据!$AP:$AP,"&gt;0",问卷数据!$AP:$AP,"&lt;11"),2),"")</f>
        <v/>
      </c>
    </row>
    <row r="8" spans="1:3">
      <c r="A8" s="3" t="s">
        <v>114</v>
      </c>
      <c r="B8" s="1" t="str">
        <f>IFERROR(ROUND(AVERAGEIFS(问卷数据!$AQ:$AQ,问卷数据!$E:$E,$A$3,问卷数据!$AQ:$AQ,"&gt;0",问卷数据!$AQ:$AQ,"&lt;11"),2),"")</f>
        <v/>
      </c>
      <c r="C8" s="1" t="str">
        <f>IFERROR(ROUND(AVERAGEIFS(问卷数据!$AR:$AR,问卷数据!$E:$E,$A$3,问卷数据!$AR:$AR,"&gt;0",问卷数据!$AR:$AR,"&lt;11"),2),"")</f>
        <v/>
      </c>
    </row>
    <row r="9" spans="1:3">
      <c r="A9" s="3" t="s">
        <v>143</v>
      </c>
      <c r="B9" s="1" t="str">
        <f>IFERROR(ROUND(AVERAGEIFS(问卷数据!$BO:$BO,问卷数据!$E:$E,$A$3,问卷数据!$BO:$BO,"&gt;0",问卷数据!$BO:$BO,"&lt;11"),2),"")</f>
        <v/>
      </c>
      <c r="C9" s="1" t="str">
        <f>IFERROR(ROUND(AVERAGEIFS(问卷数据!$BP:$BP,问卷数据!$E:$E,$A$3,问卷数据!$BP:$BP,"&gt;0",问卷数据!$BP:$BP,"&lt;11"),2),"")</f>
        <v/>
      </c>
    </row>
    <row r="10" spans="1:3">
      <c r="A10" s="4" t="s">
        <v>123</v>
      </c>
      <c r="B10" s="4" t="str">
        <f>IFERROR(ROUND(AVERAGE(B11:B17),2),"")</f>
        <v/>
      </c>
      <c r="C10" s="4" t="str">
        <f>IFERROR(ROUND(AVERAGE(C11:C17),2),"")</f>
        <v/>
      </c>
    </row>
    <row r="11" spans="1:3">
      <c r="A11" s="3" t="s">
        <v>146</v>
      </c>
      <c r="B11" s="1" t="str">
        <f>IFERROR(ROUND(AVERAGEIFS(问卷数据!Q:Q,问卷数据!$E:$E,$A$3,问卷数据!Q:Q,"&gt;0",问卷数据!Q:Q,"&lt;11"),2),"")</f>
        <v/>
      </c>
      <c r="C11" s="1" t="str">
        <f>IFERROR(ROUND(AVERAGEIFS(问卷数据!R:R,问卷数据!$E:$E,$A$3,问卷数据!R:R,"&gt;0",问卷数据!R:R,"&lt;11"),2),"")</f>
        <v/>
      </c>
    </row>
    <row r="12" spans="1:3">
      <c r="A12" s="3" t="s">
        <v>124</v>
      </c>
      <c r="B12" s="1" t="str">
        <f>IFERROR(ROUND(AVERAGEIFS(问卷数据!$O:$O,问卷数据!$E:$E,$A$3,问卷数据!$O:$O,"&gt;0",问卷数据!$O:$O,"&lt;11"),2),"")</f>
        <v/>
      </c>
      <c r="C12" s="1" t="str">
        <f>IFERROR(ROUND(AVERAGEIFS(问卷数据!$P:$P,问卷数据!$E:$E,$A$3,问卷数据!$P:$P,"&gt;0",问卷数据!$P:$P,"&lt;11"),2),"")</f>
        <v/>
      </c>
    </row>
    <row r="13" spans="1:3">
      <c r="A13" s="3" t="s">
        <v>125</v>
      </c>
      <c r="B13" s="1" t="str">
        <f>IFERROR(ROUND(AVERAGEIFS(问卷数据!$M:$M,问卷数据!$E:$E,$A$3,问卷数据!$M:$M,"&gt;0",问卷数据!$M:$M,"&lt;11"),2),"")</f>
        <v/>
      </c>
      <c r="C13" s="1" t="str">
        <f>IFERROR(ROUND(AVERAGEIFS(问卷数据!$N:$N,问卷数据!$E:$E,$A$3,问卷数据!$N:$N,"&gt;0",问卷数据!$N:$N,"&lt;11"),2),"")</f>
        <v/>
      </c>
    </row>
    <row r="14" spans="1:3">
      <c r="A14" s="3" t="s">
        <v>128</v>
      </c>
      <c r="B14" s="1" t="str">
        <f>IFERROR(ROUND(AVERAGEIFS(问卷数据!$S:$S,问卷数据!$E:$E,$A$3,问卷数据!$S:$S,"&gt;0",问卷数据!$S:$S,"&lt;11"),2),"")</f>
        <v/>
      </c>
      <c r="C14" s="1" t="str">
        <f>IFERROR(ROUND(AVERAGEIFS(问卷数据!$T:$T,问卷数据!$E:$E,$A$3,问卷数据!$T:$T,"&gt;0",问卷数据!$T:$T,"&lt;11"),2),"")</f>
        <v/>
      </c>
    </row>
    <row r="15" spans="1:3" ht="16">
      <c r="A15" s="3" t="s">
        <v>129</v>
      </c>
      <c r="B15" s="1" t="str">
        <f>IFERROR(ROUND(AVERAGEIFS(问卷数据!$W:$W,问卷数据!$E:$E,$A$3,问卷数据!$W:$W,"&gt;0",问卷数据!$W:$W,"&lt;11"),2),"")</f>
        <v/>
      </c>
      <c r="C15" s="11" t="str">
        <f>IFERROR(ROUND(AVERAGEIFS(问卷数据!X:X,问卷数据!$E:$E,$A$3,问卷数据!X:X,"&gt;0",问卷数据!X:X,"&lt;11"),2),"")</f>
        <v/>
      </c>
    </row>
    <row r="16" spans="1:3">
      <c r="A16" s="3" t="s">
        <v>130</v>
      </c>
      <c r="B16" s="1" t="str">
        <f>IFERROR(ROUND(AVERAGEIFS(问卷数据!$Y:$Y,问卷数据!$E:$E,$A$3,问卷数据!$Y:$Y,"&gt;0",问卷数据!$Y:$Y,"&lt;11"),2),"")</f>
        <v/>
      </c>
      <c r="C16" s="1" t="str">
        <f>IFERROR(ROUND(AVERAGEIFS(问卷数据!$Z:$Z,问卷数据!$E:$E,$A$3,问卷数据!$Z:$Z,"&gt;0",问卷数据!$Z:$Z,"&lt;11"),2),"")</f>
        <v/>
      </c>
    </row>
    <row r="17" spans="1:3">
      <c r="A17" s="3" t="s">
        <v>144</v>
      </c>
      <c r="B17" s="1" t="str">
        <f>IFERROR(ROUND(AVERAGEIFS(问卷数据!$AC:$AC,问卷数据!$E:$E,$A$3,问卷数据!$AC:$AC,"&gt;0",问卷数据!$AC:$AC,"&lt;11"),2),"")</f>
        <v/>
      </c>
      <c r="C17" s="1" t="str">
        <f>IFERROR(ROUND(AVERAGEIFS(问卷数据!$AD:$AD,问卷数据!$E:$E,$A$3,问卷数据!$AD:$AD,"&gt;0",问卷数据!$AD:$AD,"&lt;11"),2),"")</f>
        <v/>
      </c>
    </row>
    <row r="18" spans="1:3">
      <c r="A18" s="4" t="s">
        <v>131</v>
      </c>
      <c r="B18" s="4" t="str">
        <f>IFERROR(ROUND(AVERAGE(B19:B22),2),"")</f>
        <v/>
      </c>
      <c r="C18" s="4" t="str">
        <f>IFERROR(ROUND(AVERAGE(C19:C22),2),"")</f>
        <v/>
      </c>
    </row>
    <row r="19" spans="1:3">
      <c r="A19" s="3" t="s">
        <v>132</v>
      </c>
      <c r="B19" s="1" t="str">
        <f>IFERROR(ROUND(AVERAGEIFS(问卷数据!$BG:$BG,问卷数据!$E:$E,$A$3,问卷数据!$BG:$BG,"&gt;0",问卷数据!$BG:$BG,"&lt;11"),2),"")</f>
        <v/>
      </c>
      <c r="C19" s="1" t="str">
        <f>IFERROR(ROUND(AVERAGEIFS(问卷数据!$BH:$BH,问卷数据!$E:$E,$A$3,问卷数据!$BH:$BH,"&gt;0",问卷数据!$BH:$BH,"&lt;11"),2),"")</f>
        <v/>
      </c>
    </row>
    <row r="20" spans="1:3">
      <c r="A20" s="3" t="s">
        <v>133</v>
      </c>
      <c r="B20" s="1" t="str">
        <f>IFERROR(ROUND(AVERAGEIFS(问卷数据!$BI:$BI,问卷数据!$E:$E,$A$3,问卷数据!$BI:$BI,"&gt;0",问卷数据!$BI:$BI,"&lt;11"),2),"")</f>
        <v/>
      </c>
      <c r="C20" s="1" t="str">
        <f>IFERROR(ROUND(AVERAGEIFS(问卷数据!$BJ:$BJ,问卷数据!$E:$E,$A$3,问卷数据!$BJ:$BJ,"&gt;0",问卷数据!$BJ:$BJ,"&lt;11"),2),"")</f>
        <v/>
      </c>
    </row>
    <row r="21" spans="1:3" ht="16">
      <c r="A21" s="3" t="s">
        <v>134</v>
      </c>
      <c r="B21" s="1" t="str">
        <f>IFERROR(ROUND(AVERAGEIFS(问卷数据!$BK:$BK,问卷数据!$E:$E,$A$3,问卷数据!$BK:$BK,"&gt;0",问卷数据!$BK:$BK,"&lt;11"),2),"")</f>
        <v/>
      </c>
      <c r="C21" s="11" t="str">
        <f>IFERROR(ROUND(AVERAGEIFS(问卷数据!BL:BL,问卷数据!$E:$E,$A$3,问卷数据!BL:BL,"&gt;0",问卷数据!BL:BL,"&lt;11"),2),"")</f>
        <v/>
      </c>
    </row>
    <row r="22" spans="1:3">
      <c r="A22" s="3" t="s">
        <v>135</v>
      </c>
      <c r="B22" s="1" t="str">
        <f>IFERROR(ROUND(AVERAGEIFS(问卷数据!$BM:$BM,问卷数据!$E:$E,$A$3,问卷数据!$BM:$BM,"&gt;0",问卷数据!$BM:$BM,"&lt;11"),2),"")</f>
        <v/>
      </c>
      <c r="C22" s="1" t="str">
        <f>IFERROR(ROUND(AVERAGEIFS(问卷数据!$BN:$BN,问卷数据!$E:$E,$A$3,问卷数据!$BN:$BN,"&gt;0",问卷数据!$BN:$BN,"&lt;11"),2),"")</f>
        <v/>
      </c>
    </row>
    <row r="23" spans="1:3">
      <c r="A23" s="4" t="s">
        <v>136</v>
      </c>
      <c r="B23" s="4" t="str">
        <f>IFERROR(ROUND(AVERAGE(B24:B27),2),"")</f>
        <v/>
      </c>
      <c r="C23" s="4" t="str">
        <f>IFERROR(ROUND(AVERAGE(C24:C27),2),"")</f>
        <v/>
      </c>
    </row>
    <row r="24" spans="1:3">
      <c r="A24" s="3" t="s">
        <v>137</v>
      </c>
      <c r="B24" s="1" t="str">
        <f>IFERROR(ROUND(AVERAGEIFS(问卷数据!$BR:$BR,问卷数据!$E:$E,$A$3,问卷数据!$BR:$BR,"&gt;0",问卷数据!$BR:$BR,"&lt;11"),2),"")</f>
        <v/>
      </c>
      <c r="C24" s="1" t="str">
        <f>IFERROR(ROUND(AVERAGEIFS(问卷数据!$BS:$BS,问卷数据!$E:$E,$A$3,问卷数据!$BS:$BS,"&gt;0",问卷数据!$BS:$BS,"&lt;11"),2),"")</f>
        <v/>
      </c>
    </row>
    <row r="25" spans="1:3">
      <c r="A25" s="3" t="s">
        <v>138</v>
      </c>
      <c r="B25" s="1" t="str">
        <f>IFERROR(ROUND(AVERAGEIFS(问卷数据!BU:BU,问卷数据!$E:$E,$A$3,问卷数据!BU:BU,"&gt;0",问卷数据!BU:BU,"&lt;11"),2),"")</f>
        <v/>
      </c>
      <c r="C25" s="1" t="str">
        <f>IFERROR(ROUND(AVERAGEIFS(问卷数据!BV:BV,问卷数据!$E:$E,$A$3,问卷数据!BV:BV,"&gt;0",问卷数据!BV:BV,"&lt;11"),2),"")</f>
        <v/>
      </c>
    </row>
    <row r="26" spans="1:3">
      <c r="A26" s="3" t="s">
        <v>139</v>
      </c>
      <c r="B26" s="1" t="str">
        <f>IFERROR(ROUND(AVERAGEIFS(问卷数据!$BX:$BX,问卷数据!$E:$E,$A$3,问卷数据!$BX:$BX,"&gt;0",问卷数据!$BX:$BX,"&lt;11"),2),"")</f>
        <v/>
      </c>
      <c r="C26" s="1" t="str">
        <f>IFERROR(ROUND(AVERAGEIFS(问卷数据!$BY:$BY,问卷数据!$E:$E,$A$3,问卷数据!$BY:$BY,"&gt;0",问卷数据!$BY:$BY,"&lt;11"),2),"")</f>
        <v/>
      </c>
    </row>
    <row r="27" spans="1:3">
      <c r="A27" s="3" t="s">
        <v>140</v>
      </c>
      <c r="B27" s="1" t="str">
        <f>IFERROR(ROUND(AVERAGEIFS(问卷数据!$CA:$CA,问卷数据!$E:$E,$A$3,问卷数据!$CA:$CA,"&gt;0",问卷数据!$CA:$CA,"&lt;11"),2),"")</f>
        <v/>
      </c>
      <c r="C27" s="1" t="str">
        <f>IFERROR(ROUND(AVERAGEIFS(问卷数据!$CB:$CB,问卷数据!$E:$E,$A$3,问卷数据!$CB:$CB,"&gt;0",问卷数据!$CB:$CB,"&lt;11"),2),"")</f>
        <v/>
      </c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问卷数据</vt:lpstr>
      <vt:lpstr>展览主承办</vt:lpstr>
      <vt:lpstr>参展商</vt:lpstr>
      <vt:lpstr>专业观众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张奇进</cp:lastModifiedBy>
  <dcterms:created xsi:type="dcterms:W3CDTF">2025-02-15T10:45:00Z</dcterms:created>
  <dcterms:modified xsi:type="dcterms:W3CDTF">2026-04-08T13:09:06Z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F3A440B164224C588097B187181BA5E2_13</vt:lpwstr>
  </property>
  <property fmtid="{D5CDD505-2E9C-101B-9397-08002B2CF9AE}" pid="3" name="KSOProductBuildVer">
    <vt:lpwstr>2052-12.1.25205.25205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