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qijin/PycharmProjects/hangbo/月报模版V1.0（数据+雷达图）/"/>
    </mc:Choice>
  </mc:AlternateContent>
  <xr:revisionPtr revIDLastSave="0" documentId="13_ncr:1_{A57600FD-B65D-6944-9168-602EF910F5CD}" xr6:coauthVersionLast="47" xr6:coauthVersionMax="47" xr10:uidLastSave="{00000000-0000-0000-0000-000000000000}"/>
  <bookViews>
    <workbookView xWindow="-20480" yWindow="600" windowWidth="20480" windowHeight="22440" activeTab="1" xr2:uid="{00000000-000D-0000-FFFF-FFFF00000000}"/>
  </bookViews>
  <sheets>
    <sheet name="问卷数据" sheetId="1" r:id="rId1"/>
    <sheet name="会议主承办" sheetId="2" r:id="rId2"/>
    <sheet name="酒店会议主承办" sheetId="3" r:id="rId3"/>
    <sheet name="酒店参会客户" sheetId="4" r:id="rId4"/>
    <sheet name="参会人员" sheetId="5" r:id="rId5"/>
  </sheets>
  <definedNames>
    <definedName name="_xlnm._FilterDatabase" localSheetId="0" hidden="1">问卷数据!$C$1:$C$1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" l="1"/>
  <c r="B37" i="2"/>
  <c r="C5" i="4"/>
  <c r="B5" i="4"/>
  <c r="C26" i="3"/>
  <c r="B26" i="3"/>
  <c r="C10" i="3"/>
  <c r="B10" i="3"/>
  <c r="C10" i="2"/>
  <c r="B10" i="2"/>
  <c r="C29" i="3"/>
  <c r="B29" i="3"/>
  <c r="B34" i="3"/>
  <c r="C27" i="5"/>
  <c r="B27" i="5"/>
  <c r="C26" i="5"/>
  <c r="B26" i="5"/>
  <c r="C25" i="5"/>
  <c r="B25" i="5"/>
  <c r="C24" i="5"/>
  <c r="B24" i="5"/>
  <c r="C22" i="5"/>
  <c r="B22" i="5"/>
  <c r="C21" i="5"/>
  <c r="B21" i="5"/>
  <c r="C20" i="5"/>
  <c r="B20" i="5"/>
  <c r="C19" i="5"/>
  <c r="B19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8" i="5"/>
  <c r="B8" i="5"/>
  <c r="C7" i="5"/>
  <c r="B7" i="5"/>
  <c r="C6" i="5"/>
  <c r="B6" i="5"/>
  <c r="C5" i="5"/>
  <c r="B5" i="5"/>
  <c r="C4" i="5"/>
  <c r="B4" i="5"/>
  <c r="C27" i="4"/>
  <c r="B27" i="4"/>
  <c r="C26" i="4"/>
  <c r="B26" i="4"/>
  <c r="C25" i="4"/>
  <c r="B25" i="4"/>
  <c r="C24" i="4"/>
  <c r="C23" i="4" s="1"/>
  <c r="B24" i="4"/>
  <c r="B23" i="4" s="1"/>
  <c r="C22" i="4"/>
  <c r="B22" i="4"/>
  <c r="C21" i="4"/>
  <c r="B21" i="4"/>
  <c r="C20" i="4"/>
  <c r="B20" i="4"/>
  <c r="C19" i="4"/>
  <c r="B19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8" i="4"/>
  <c r="B8" i="4"/>
  <c r="C7" i="4"/>
  <c r="B7" i="4"/>
  <c r="C6" i="4"/>
  <c r="B6" i="4"/>
  <c r="C4" i="4"/>
  <c r="B4" i="4"/>
  <c r="C38" i="3"/>
  <c r="B38" i="3"/>
  <c r="C37" i="3"/>
  <c r="B37" i="3"/>
  <c r="C36" i="3"/>
  <c r="B36" i="3"/>
  <c r="C35" i="3"/>
  <c r="B35" i="3"/>
  <c r="C33" i="3"/>
  <c r="B33" i="3"/>
  <c r="C32" i="3"/>
  <c r="B32" i="3"/>
  <c r="C31" i="3"/>
  <c r="B31" i="3"/>
  <c r="C30" i="3"/>
  <c r="B30" i="3"/>
  <c r="C28" i="3"/>
  <c r="B28" i="3"/>
  <c r="C27" i="3"/>
  <c r="B27" i="3"/>
  <c r="C25" i="3"/>
  <c r="B25" i="3"/>
  <c r="C24" i="3"/>
  <c r="B24" i="3"/>
  <c r="C23" i="3"/>
  <c r="B23" i="3"/>
  <c r="C22" i="3"/>
  <c r="B22" i="3"/>
  <c r="C21" i="3"/>
  <c r="B21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9" i="3"/>
  <c r="B9" i="3"/>
  <c r="C8" i="3"/>
  <c r="B8" i="3"/>
  <c r="C7" i="3"/>
  <c r="B7" i="3"/>
  <c r="C6" i="3"/>
  <c r="B6" i="3"/>
  <c r="C5" i="3"/>
  <c r="B5" i="3"/>
  <c r="C4" i="3"/>
  <c r="B4" i="3"/>
  <c r="C38" i="2"/>
  <c r="B38" i="2"/>
  <c r="C36" i="2"/>
  <c r="B36" i="2"/>
  <c r="C35" i="2"/>
  <c r="B35" i="2"/>
  <c r="C33" i="2"/>
  <c r="B33" i="2"/>
  <c r="C32" i="2"/>
  <c r="B32" i="2"/>
  <c r="C31" i="2"/>
  <c r="B31" i="2"/>
  <c r="C30" i="2"/>
  <c r="B30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9" i="2"/>
  <c r="B9" i="2"/>
  <c r="C8" i="2"/>
  <c r="B8" i="2"/>
  <c r="C7" i="2"/>
  <c r="B7" i="2"/>
  <c r="C6" i="2"/>
  <c r="B6" i="2"/>
  <c r="C5" i="2"/>
  <c r="B5" i="2"/>
  <c r="C4" i="2"/>
  <c r="B4" i="2"/>
  <c r="C23" i="5" l="1"/>
  <c r="C18" i="5"/>
  <c r="B23" i="5"/>
  <c r="B9" i="5"/>
  <c r="B3" i="5"/>
  <c r="B18" i="5"/>
  <c r="C3" i="5"/>
  <c r="C9" i="5"/>
  <c r="C3" i="4"/>
  <c r="C1" i="4" s="1"/>
  <c r="C9" i="4"/>
  <c r="C1" i="5"/>
  <c r="B1" i="5"/>
  <c r="B3" i="4"/>
  <c r="B1" i="4" s="1"/>
  <c r="B9" i="4"/>
  <c r="B18" i="4"/>
  <c r="C18" i="4"/>
  <c r="B3" i="3"/>
  <c r="B1" i="3" s="1"/>
  <c r="B20" i="3"/>
  <c r="C3" i="3"/>
  <c r="C34" i="3"/>
  <c r="C20" i="3"/>
  <c r="B29" i="2"/>
  <c r="B20" i="2"/>
  <c r="C29" i="2"/>
  <c r="C20" i="2"/>
  <c r="B34" i="2"/>
  <c r="B3" i="2"/>
  <c r="C3" i="2"/>
  <c r="C34" i="2"/>
  <c r="C1" i="3" l="1"/>
  <c r="B1" i="2"/>
  <c r="C1" i="2"/>
</calcChain>
</file>

<file path=xl/sharedStrings.xml><?xml version="1.0" encoding="utf-8"?>
<sst xmlns="http://schemas.openxmlformats.org/spreadsheetml/2006/main" count="245" uniqueCount="153">
  <si>
    <t>提交序号</t>
  </si>
  <si>
    <t>状态</t>
  </si>
  <si>
    <t>Q1-调研类别</t>
  </si>
  <si>
    <t>Q2-您参加的活动名称</t>
  </si>
  <si>
    <t>Q3-您在会议中的身份</t>
  </si>
  <si>
    <t>Q4-您的工作职务 主</t>
  </si>
  <si>
    <t>Q5-展览/会议规模 主</t>
  </si>
  <si>
    <t>Q6-展览/会议规模 酒店主承办</t>
  </si>
  <si>
    <t>Q7-第几次与杭博合作</t>
  </si>
  <si>
    <t>Q8-您第几次来杭博参会</t>
  </si>
  <si>
    <t>Q9-您的性别</t>
  </si>
  <si>
    <t>Q10-您的年龄</t>
  </si>
  <si>
    <t>Q12-请问您对请问您对杭州国际博览中心的内部交通流线安排评价？请用1-10分打分。主承办-内部交通流线安排(满意度)</t>
  </si>
  <si>
    <t>Q12-请问您对请问您对杭州国际博览中心的内部交通流线安排评价？请用1-10分打分。主承办-内部交通流线安排(重要性)</t>
  </si>
  <si>
    <t>Q13-请问您对杭州国际博览中心的交通便利性评价？请用1-10分打分。-内部交通便利，容易到达(满意度)</t>
  </si>
  <si>
    <t>Q13-请问您对杭州国际博览中心的交通便利性评价？请用1-10分打分。-内部交通便利，容易到达(重要性)</t>
  </si>
  <si>
    <t>Q13-请问您对杭州国际博览中心的交通便利性评价？请用1-10分打分。-内部交通，停车便利(满意度)</t>
  </si>
  <si>
    <t>Q13-请问您对杭州国际博览中心的交通便利性评价？请用1-10分打分。-内部交通，停车便利(重要性)</t>
  </si>
  <si>
    <t>Q14-请问您对杭州国际博览中心硬件设施评价？请用1-10分打分。-标识标牌清晰(满意度)</t>
  </si>
  <si>
    <t>Q14-请问您对杭州国际博览中心硬件设施评价？请用1-10分打分。-标识标牌清晰(重要性)</t>
  </si>
  <si>
    <t>Q14-请问您对杭州国际博览中心硬件设施评价？请用1-10分打分。-设施设备齐全（空调，水电，电梯，照明，消防，网络等）(满意度)</t>
  </si>
  <si>
    <t>Q14-请问您对杭州国际博览中心硬件设施评价？请用1-10分打分。-设施设备齐全（空调，水电，电梯，照明，消防，网络等）(重要性)</t>
  </si>
  <si>
    <t>Q14-请问您对杭州国际博览中心硬件设施评价？请用1-10分打分。-会议厅使用情况（匹配性，方便性）(满意度)</t>
  </si>
  <si>
    <t>Q14-请问您对杭州国际博览中心硬件设施评价？请用1-10分打分。-会议厅使用情况（匹配性，方便性）(重要性)</t>
  </si>
  <si>
    <t>Q14-请问您对杭州国际博览中心硬件设施评价？请用1-10分打分。-会议厅AV效果（音响放映器材）(满意度)</t>
  </si>
  <si>
    <t>Q14-请问您对杭州国际博览中心硬件设施评价？请用1-10分打分。-会议厅AV效果（音响放映器材）(重要性)</t>
  </si>
  <si>
    <t>Q14-请问您对杭州国际博览中心硬件设施评价？请用1-10分打分。-休息空间(满意度)</t>
  </si>
  <si>
    <t>Q14-请问您对杭州国际博览中心硬件设施评价？请用1-10分打分。-休息空间(重要性)</t>
  </si>
  <si>
    <t>Q15-B6 请问您对杭州国际博览中心参会环境（空气质量、卫生）评价？请用1-10分打分。 参会人员-参会环境（空气质量，卫生）(满意度)</t>
  </si>
  <si>
    <t>Q15-B6 请问您对杭州国际博览中心参会环境（空气质量、卫生）评价？请用1-10分打分。 参会人员-参会环境（空气质量，卫生）(重要性)</t>
  </si>
  <si>
    <t>Q16-C1请问您对杭州国际博览中心工作人员评价？请用1-10分打分。-工作人员仪容仪表(满意度)</t>
  </si>
  <si>
    <t>Q16-C1请问您对杭州国际博览中心工作人员评价？请用1-10分打分。-工作人员仪容仪表(重要性)</t>
  </si>
  <si>
    <t>Q16-C1请问您对杭州国际博览中心工作人员评价？请用1-10分打分。-工作人员业务技能(满意度)</t>
  </si>
  <si>
    <t>Q16-C1请问您对杭州国际博览中心工作人员评价？请用1-10分打分。-工作人员业务技能(重要性)</t>
  </si>
  <si>
    <t>Q16-C1请问您对杭州国际博览中心工作人员评价？请用1-10分打分。-工作人员服务态度(满意度)</t>
  </si>
  <si>
    <t>Q16-C1请问您对杭州国际博览中心工作人员评价？请用1-10分打分。-工作人员服务态度(重要性)</t>
  </si>
  <si>
    <t>Q17-请问您对杭州国际博览中心配套服务评价？请用1-10分打分。-餐饮服务（自助餐/美食廊等）(满意度)</t>
  </si>
  <si>
    <t>Q17-请问您对杭州国际博览中心配套服务评价？请用1-10分打分。-餐饮服务（自助餐/美食廊等）(重要性)</t>
  </si>
  <si>
    <t>Q17-请问您对杭州国际博览中心配套服务评价？请用1-10分打分。-客房服务(满意度)</t>
  </si>
  <si>
    <t>Q17-请问您对杭州国际博览中心配套服务评价？请用1-10分打分。-客房服务(重要性)</t>
  </si>
  <si>
    <t>Q17-请问您对杭州国际博览中心配套服务评价？请用1-10分打分。-保洁服务(满意度)</t>
  </si>
  <si>
    <t>Q17-请问您对杭州国际博览中心配套服务评价？请用1-10分打分。-保洁服务(重要性)</t>
  </si>
  <si>
    <t>Q17-请问您对杭州国际博览中心配套服务评价？请用1-10分打分。-安保服务(满意度)</t>
  </si>
  <si>
    <t>Q17-请问您对杭州国际博览中心配套服务评价？请用1-10分打分。-安保服务(重要性)</t>
  </si>
  <si>
    <t>Q18-请问您对杭州国际博览中心销售经理进行评价？请用1-10分打分。主-销售经理服务态度(满意度)</t>
  </si>
  <si>
    <t>Q18-请问您对杭州国际博览中心销售经理进行评价？请用1-10分打分。主-销售经理服务态度(重要性)</t>
  </si>
  <si>
    <t>Q18-请问您对杭州国际博览中心销售经理进行评价？请用1-10分打分。主-销售经理业务能力(满意度)</t>
  </si>
  <si>
    <t>Q18-请问您对杭州国际博览中心销售经理进行评价？请用1-10分打分。主-销售经理业务能力(重要性)</t>
  </si>
  <si>
    <t>Q19-ZA3 请问您对杭州国际博览中心现场对接评价？请用1-10分打分。 主-现场对接协调沟通(满意度)</t>
  </si>
  <si>
    <t>Q19-ZA3 请问您对杭州国际博览中心现场对接评价？请用1-10分打分。 主-现场对接协调沟通(重要性)</t>
  </si>
  <si>
    <t>Q19-ZA3 请问您对杭州国际博览中心现场对接评价？请用1-10分打分。 主-现场对接服务效率(满意度)</t>
  </si>
  <si>
    <t>Q19-ZA3 请问您对杭州国际博览中心现场对接评价？请用1-10分打分。 主-现场对接服务效率(重要性)</t>
  </si>
  <si>
    <t>Q20-ZB1 请问您对杭州国际博览中心报馆流程及服务评价？请用1-10分打分。主-报馆流程及服务(满意度)</t>
  </si>
  <si>
    <t>Q20-ZB1 请问您对杭州国际博览中心报馆流程及服务评价？请用1-10分打分。主-报馆流程及服务(重要性)</t>
  </si>
  <si>
    <t>Q21-ZB2 请问您对杭州国际博览中心现场布置与搭建评价？请用1-10分打分。主-现场布置与搭建(满意度)</t>
  </si>
  <si>
    <t>Q21-ZB2 请问您对杭州国际博览中心现场布置与搭建评价？请用1-10分打分。主-现场布置与搭建(重要性)</t>
  </si>
  <si>
    <t>Q22-ZB3 请问您对杭州国际博览中心工程设备服务评价？请用1-10分打分。主-工程设备服务(满意度)</t>
  </si>
  <si>
    <t>Q22-ZB3 请问您对杭州国际博览中心工程设备服务评价？请用1-10分打分。主-工程设备服务(重要性)</t>
  </si>
  <si>
    <t>Q23-ZB4 请问您对杭州国际博览中心茶歇服务与品质评价？请用1-10分打分。-茶歇服务与品质(满意度)</t>
  </si>
  <si>
    <t>Q23-ZB4 请问您对杭州国际博览中心茶歇服务与品质评价？请用1-10分打分。-茶歇服务与品质(重要性)</t>
  </si>
  <si>
    <t>Q24-ZB5 请问您对杭州国际博览中心在线服务渠道便捷（报馆服务）评价？请用1-10分打分。主-在线服务渠道便捷（报馆服务）(满意度)</t>
  </si>
  <si>
    <t>Q24-ZB5 请问您对杭州国际博览中心在线服务渠道便捷（报馆服务）评价？请用1-10分打分。主-在线服务渠道便捷（报馆服务）(重要性)</t>
  </si>
  <si>
    <t>Q25-ZC1 请问您对杭州国际博览中心服务响应及时性评价？请用1-10分打分。主-服务响应及时性(满意度)</t>
  </si>
  <si>
    <t>Q25-ZC1 请问您对杭州国际博览中心服务响应及时性评价？请用1-10分打分。主-服务响应及时性(重要性)</t>
  </si>
  <si>
    <t>Q26-ZC2 请问您对杭州国际博览中心整体协调和配合评价？请用1-10分打分。主-整体协调与配合(满意度)</t>
  </si>
  <si>
    <t>Q26-ZC2 请问您对杭州国际博览中心整体协调和配合评价？请用1-10分打分。主-整体协调与配合(重要性)</t>
  </si>
  <si>
    <t>Q27-ZD1 请问您对杭州国际博览中心撤会服务评价？请用1-10分打分。主-撤会服务(满意度)</t>
  </si>
  <si>
    <t>Q27-ZD1 请问您对杭州国际博览中心撤会服务评价？请用1-10分打分。主-撤会服务(重要性)</t>
  </si>
  <si>
    <t>Q28-ZD2 请问您对杭州国际博览中心会后回访评价？请用1-10分打分。主-会后回访(满意度)</t>
  </si>
  <si>
    <t>Q28-ZD2 请问您对杭州国际博览中心会后回访评价？请用1-10分打分。主-会后回访(重要性)</t>
  </si>
  <si>
    <t>Q29-请问您对杭州国际博览中心接待引导评价？请用1-10分打分。参-接待引导服务(满意度)</t>
  </si>
  <si>
    <t>Q29-请问您对杭州国际博览中心接待引导评价？请用1-10分打分。参-接待引导服务(重要性)</t>
  </si>
  <si>
    <t>Q30-您知道杭州国际博览中心杭州国博APP吗？</t>
  </si>
  <si>
    <t>Q31-请问您对杭州国际博览中心杭州国博APP评价？请用1-10分打分。-杭州国博APP(满意度)</t>
  </si>
  <si>
    <t>Q31-请问您对杭州国际博览中心杭州国博APP评价？请用1-10分打分。-杭州国博APP(重要性)</t>
  </si>
  <si>
    <t>Q32-您知道杭州国际博览中心室内导航系统评价？</t>
  </si>
  <si>
    <t>Q33-请问您对杭州国际博览中心室内导航系统评价如何？请用1-10分打分。-室内导航系统(满意度)</t>
  </si>
  <si>
    <t>Q33-请问您对杭州国际博览中心室内导航系统评价如何？请用1-10分打分。-室内导航系统(重要性)</t>
  </si>
  <si>
    <t>Q34-您知道杭州国际博览中心寻车系统评价？请用1-10分打分。</t>
  </si>
  <si>
    <t>Q35-请问您对杭州国际博览中心寻车系统评价评价？请用1-10分打分。-寻车系统(满意度)</t>
  </si>
  <si>
    <t>Q35-请问您对杭州国际博览中心寻车系统评价评价？请用1-10分打分。-寻车系统(重要性)</t>
  </si>
  <si>
    <t>Q36-您知道杭州国际博览中心云上看馆吗？</t>
  </si>
  <si>
    <t>Q37-请问您对杭州国际博览中心云上看馆评价评价？请用1-10分打分。-云上看馆(满意度)</t>
  </si>
  <si>
    <t>Q37-请问您对杭州国际博览中心云上看馆评价评价？请用1-10分打分。-云上看馆(重要性)</t>
  </si>
  <si>
    <t>Q38-请问您对本次展览服务的总体满意程度如何？【单选】 请用1-10分打分。—满意度</t>
  </si>
  <si>
    <t>Q39-本次展览的服务是否有达到您的预期？—满意度</t>
  </si>
  <si>
    <t xml:space="preserve">Q40-
请问您对杭州国际博览中心的评价或建议？【开放题】
</t>
  </si>
  <si>
    <t>Q41-您是否会向其他人推荐杭州国际博览中心？</t>
  </si>
  <si>
    <t>Q42-
您觉得在杭州市举办会展活动的整体环境（政策、便利、效果）如何？【单选】 请用1-10分打分。 主
-整体环境(满意度)</t>
  </si>
  <si>
    <t>Q43-您是否有在国内其他城市主办过会展活动？【跳转题型】主</t>
  </si>
  <si>
    <t xml:space="preserve">Q44-
您觉得在杭州市举办会展活动与其他城市相比不同点有哪些？【开放题】 主
</t>
  </si>
  <si>
    <t xml:space="preserve">Q45-
您是否会再次选择杭州国际博览中心举办活动？【单选】主
</t>
  </si>
  <si>
    <t>Q46-若您再次在此举办活动，希望杭州国际博览中心在哪些方面能进一步优化提升？ 主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</si>
  <si>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</si>
  <si>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</si>
  <si>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</si>
  <si>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</si>
  <si>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</si>
  <si>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</si>
  <si>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</si>
  <si>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</si>
  <si>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</si>
  <si>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</si>
  <si>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</si>
  <si>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</si>
  <si>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</si>
  <si>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</si>
  <si>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参会人员</t>
  </si>
  <si>
    <t>会议主承办</t>
  </si>
  <si>
    <t>酒店会议主承办</t>
  </si>
  <si>
    <t>酒店参会客户</t>
  </si>
  <si>
    <t>指标</t>
  </si>
  <si>
    <t>满意度</t>
  </si>
  <si>
    <t>重要性</t>
  </si>
  <si>
    <t>会展服务</t>
  </si>
  <si>
    <t>工作人员仪容仪表</t>
  </si>
  <si>
    <t>销售经理服务态度</t>
  </si>
  <si>
    <t>工作人员业务技能</t>
  </si>
  <si>
    <t>销售经理业务能力</t>
  </si>
  <si>
    <t>工作人员服务态度</t>
  </si>
  <si>
    <t>现场对接协调沟通</t>
  </si>
  <si>
    <t>接待引导服务</t>
  </si>
  <si>
    <t>现场对接服务效率</t>
  </si>
  <si>
    <t>茶歇服务品质</t>
  </si>
  <si>
    <t>硬件设施</t>
  </si>
  <si>
    <t>交通便利，容易到达</t>
  </si>
  <si>
    <t>标识标牌清晰</t>
  </si>
  <si>
    <t>现场布置与搭建</t>
  </si>
  <si>
    <t>会议厅室匹配性，方便性</t>
  </si>
  <si>
    <t>茶歇服务与品质</t>
  </si>
  <si>
    <t>设施设备齐全</t>
  </si>
  <si>
    <t>在线服务渠道便捷</t>
  </si>
  <si>
    <t>休息空间</t>
  </si>
  <si>
    <t>报馆流程及服务</t>
  </si>
  <si>
    <t>园区停车方便</t>
  </si>
  <si>
    <t>工程设施设备</t>
  </si>
  <si>
    <t>AV效果</t>
  </si>
  <si>
    <t>撤会服务</t>
  </si>
  <si>
    <t xml:space="preserve">参会环境 </t>
  </si>
  <si>
    <t>会后回访</t>
  </si>
  <si>
    <t>配套服务</t>
  </si>
  <si>
    <t>整体协调和配合</t>
  </si>
  <si>
    <t>餐饮服务</t>
  </si>
  <si>
    <t>服务响应及时性</t>
  </si>
  <si>
    <t>客房服务</t>
  </si>
  <si>
    <t>安保服务</t>
  </si>
  <si>
    <t>保洁服务</t>
  </si>
  <si>
    <t>智慧场馆</t>
  </si>
  <si>
    <t>杭州国博APP</t>
  </si>
  <si>
    <t>室内导航系统</t>
  </si>
  <si>
    <t>寻车系统</t>
  </si>
  <si>
    <t>云上看馆</t>
  </si>
  <si>
    <t>交通流线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</si>
</sst>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D0D0D"/>
      <name val="Menlo"/>
      <family val="2"/>
    </font>
    <font>
      <sz val="14"/>
      <color rgb="FF333333"/>
      <name val="Lucida Console"/>
      <family val="2"/>
    </font>
    <font>
      <sz val="9.9"/>
      <color rgb="FF33333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C1"/>
  <sheetViews>
    <sheetView topLeftCell="BI1" zoomScale="93" zoomScaleNormal="52" workbookViewId="0">
      <selection activeCell="CB1" sqref="CB1"/>
    </sheetView>
  </sheetViews>
  <sheetFormatPr baseColWidth="10" defaultColWidth="9" defaultRowHeight="14"/>
  <cols>
    <col min="1" max="107" width="7.33203125" customWidth="1"/>
  </cols>
  <sheetData>
    <row r="1" spans="1:10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38"/>
  <sheetViews>
    <sheetView tabSelected="1" zoomScale="88" zoomScaleNormal="78" workbookViewId="0">
      <selection activeCell="E19" sqref="E19"/>
    </sheetView>
  </sheetViews>
  <sheetFormatPr baseColWidth="10" defaultColWidth="8.83203125" defaultRowHeight="14"/>
  <cols>
    <col min="1" max="1" width="23.1640625" style="2" customWidth="1"/>
    <col min="2" max="3" width="8.83203125" style="2"/>
  </cols>
  <sheetData>
    <row r="1" spans="1:3" s="1" customFormat="1">
      <c r="A1" s="3" t="s">
        <v>108</v>
      </c>
      <c r="B1" s="3" t="str">
        <f>IFERROR(ROUND(AVERAGE(B3,B20,B29,B34),2),"")</f>
        <v/>
      </c>
      <c r="C1" s="3" t="str">
        <f>IFERROR(ROUND(AVERAGE(C3,C20,C29,C34),2),"")</f>
        <v/>
      </c>
    </row>
    <row r="2" spans="1:3">
      <c r="A2" s="2" t="s">
        <v>111</v>
      </c>
      <c r="B2" s="2" t="s">
        <v>112</v>
      </c>
      <c r="C2" s="2" t="s">
        <v>113</v>
      </c>
    </row>
    <row r="3" spans="1:3">
      <c r="A3" s="4" t="s">
        <v>114</v>
      </c>
      <c r="B3" s="4" t="str">
        <f>IFERROR(ROUND(AVERAGE(B4:B19),2),"")</f>
        <v/>
      </c>
      <c r="C3" s="4" t="str">
        <f>IFERROR(ROUND(AVERAGE(C4:C19),2),"")</f>
        <v/>
      </c>
    </row>
    <row r="4" spans="1:3">
      <c r="A4" s="2" t="s">
        <v>116</v>
      </c>
      <c r="B4" s="2" t="str">
        <f>IFERROR(ROUND(AVERAGEIFS(问卷数据!$AS:$AS,问卷数据!$E:$E,$A$1,问卷数据!$AS:$AS,"&gt;0",问卷数据!$AS:$AS,"&lt;11"),2),"")</f>
        <v/>
      </c>
      <c r="C4" s="2" t="str">
        <f>IFERROR(ROUND(AVERAGEIFS(问卷数据!$AT:AT,问卷数据!$E:$E,$A$1,问卷数据!$AT:$AT,"&gt;0",问卷数据!$AT:$AT,"&lt;11"),2),"")</f>
        <v/>
      </c>
    </row>
    <row r="5" spans="1:3">
      <c r="A5" s="2" t="s">
        <v>118</v>
      </c>
      <c r="B5" s="2" t="str">
        <f>IFERROR(ROUND(AVERAGEIFS(问卷数据!$AU:$AU,问卷数据!$E:$E,$A$1,问卷数据!$AU:$AU,"&gt;0",问卷数据!$AU:$AU,"&lt;11"),2),"")</f>
        <v/>
      </c>
      <c r="C5" s="2" t="str">
        <f>IFERROR(ROUND(AVERAGEIFS(问卷数据!$AV:$AV,问卷数据!$E:$E,$A$1,问卷数据!$AV:$AV,"&gt;0",问卷数据!$AV:$AV,"&lt;11"),2),"")</f>
        <v/>
      </c>
    </row>
    <row r="6" spans="1:3">
      <c r="A6" s="2" t="s">
        <v>120</v>
      </c>
      <c r="B6" s="2" t="str">
        <f>IFERROR(ROUND(AVERAGEIFS(问卷数据!$AW:$AW,问卷数据!$E:$E,$A$1,问卷数据!$AW:$AW,"&gt;0",问卷数据!$AW:$AW,"&lt;11"),2),"")</f>
        <v/>
      </c>
      <c r="C6" s="2" t="str">
        <f>IFERROR(ROUND(AVERAGEIFS(问卷数据!$AX:$AX,问卷数据!$E:$E,$A$1,问卷数据!$AX:$AX,"&gt;0",问卷数据!$AX:$AX,"&lt;11"),2),"")</f>
        <v/>
      </c>
    </row>
    <row r="7" spans="1:3">
      <c r="A7" s="2" t="s">
        <v>122</v>
      </c>
      <c r="B7" s="2" t="str">
        <f>IFERROR(ROUND(AVERAGEIFS(问卷数据!$AY:$AY,问卷数据!$E:$E,$A$1,问卷数据!$AY:$AY,"&gt;0",问卷数据!$AY:$AY,"&lt;11"),2),"")</f>
        <v/>
      </c>
      <c r="C7" s="2" t="str">
        <f>IFERROR(ROUND(AVERAGEIFS(问卷数据!$AZ:$AZ,问卷数据!$E:$E,$A$1,问卷数据!$AZ:$AZ,"&gt;0",问卷数据!$AZ:$AZ,"&lt;11"),2),"")</f>
        <v/>
      </c>
    </row>
    <row r="8" spans="1:3">
      <c r="A8" s="2" t="s">
        <v>115</v>
      </c>
      <c r="B8" s="2" t="str">
        <f>IFERROR(ROUND(AVERAGEIFS(问卷数据!$AE:$AE,问卷数据!$E:$E,$A$1,问卷数据!$AE:$AE,"&gt;0",问卷数据!$AE:$AE,"&lt;11"),2),"")</f>
        <v/>
      </c>
      <c r="C8" s="2" t="str">
        <f>IFERROR(ROUND(AVERAGEIFS(问卷数据!$AF:$AF,问卷数据!$E:$E,$A$1,问卷数据!$AF:$AF,"&gt;0",问卷数据!$AF:$AF,"&lt;11"),2),"")</f>
        <v/>
      </c>
    </row>
    <row r="9" spans="1:3">
      <c r="A9" s="2" t="s">
        <v>119</v>
      </c>
      <c r="B9" s="2" t="str">
        <f>IFERROR(ROUND(AVERAGEIFS(问卷数据!$AI:$AI,问卷数据!$E:$E,$A$1,问卷数据!$AI:$AI,"&gt;0",问卷数据!$AI:$AI,"&lt;11"),2),"")</f>
        <v/>
      </c>
      <c r="C9" s="2" t="str">
        <f>IFERROR(ROUND(AVERAGEIFS(问卷数据!$AJ:$AJ,问卷数据!$E:$E,$A$1,问卷数据!$AJ:$AJ,"&gt;0",问卷数据!$AJ:$AJ,"&lt;11"),2),"")</f>
        <v/>
      </c>
    </row>
    <row r="10" spans="1:3">
      <c r="A10" s="2" t="s">
        <v>117</v>
      </c>
      <c r="B10" s="2" t="str">
        <f>IFERROR(ROUND(AVERAGEIFS(问卷数据!$AG:$AG,问卷数据!$E:$E,$A$1,问卷数据!$AG:$AG,"&gt;0",问卷数据!$AG:$AG,"&lt;11"),2),"")</f>
        <v/>
      </c>
      <c r="C10" s="2" t="str">
        <f>IFERROR(ROUND(AVERAGEIFS(问卷数据!$AH:$AH,问卷数据!$E:$E,$A$1,问卷数据!$AH:$AH,"&gt;0",问卷数据!$AH:$AH,"&lt;11"),2),"")</f>
        <v/>
      </c>
    </row>
    <row r="11" spans="1:3">
      <c r="A11" s="2" t="s">
        <v>127</v>
      </c>
      <c r="B11" s="2" t="str">
        <f>IFERROR(ROUND(AVERAGEIFS(问卷数据!$BC:$BC,问卷数据!$E:$E,$A$1,问卷数据!$BC:$BC,"&gt;0",问卷数据!$BC:$BC,"&lt;11"),2),"")</f>
        <v/>
      </c>
      <c r="C11" s="2" t="str">
        <f>IFERROR(ROUND(AVERAGEIFS(问卷数据!$BD:$BD,问卷数据!$E:$E,$A$1,问卷数据!$BD:$BD,"&gt;0",问卷数据!$BD:$BD,"&lt;11"),2),"")</f>
        <v/>
      </c>
    </row>
    <row r="12" spans="1:3">
      <c r="A12" s="2" t="s">
        <v>129</v>
      </c>
      <c r="B12" s="2" t="str">
        <f>IFERROR(ROUND(AVERAGEIFS(问卷数据!$BG:$BG,问卷数据!$E:$E,$A$1,问卷数据!$BG:$BG,"&gt;0",问卷数据!$BG:$BG,"&lt;11"),2),"")</f>
        <v/>
      </c>
      <c r="C12" s="2" t="str">
        <f>IFERROR(ROUND(AVERAGEIFS(问卷数据!$BH:$BH,问卷数据!$E:$E,$A$1,问卷数据!$BH:$BH,"&gt;0",问卷数据!$BH:$BH,"&lt;11"),2),"")</f>
        <v/>
      </c>
    </row>
    <row r="13" spans="1:3">
      <c r="A13" s="2" t="s">
        <v>131</v>
      </c>
      <c r="B13" s="2" t="str">
        <f>IFERROR(ROUND(AVERAGEIFS(问卷数据!$BI:$BI,问卷数据!$E:$E,$A$1,问卷数据!$BI:$BI,"&gt;0",问卷数据!$BI:$BI,"&lt;11"),2),"")</f>
        <v/>
      </c>
      <c r="C13" s="2" t="str">
        <f>IFERROR(ROUND(AVERAGEIFS(问卷数据!$BJ:$BJ,问卷数据!$E:$E,$A$1,问卷数据!$BJ:$BJ,"&gt;0",问卷数据!$BJ:$BJ,"&lt;11"),2),"")</f>
        <v/>
      </c>
    </row>
    <row r="14" spans="1:3">
      <c r="A14" s="2" t="s">
        <v>133</v>
      </c>
      <c r="B14" s="2" t="str">
        <f>IFERROR(ROUND(AVERAGEIFS(问卷数据!$BA:$BA,问卷数据!$E:$E,$A$1,问卷数据!$BA:$BA,"&gt;0",问卷数据!$BA:$BA,"&lt;11"),2),"")</f>
        <v/>
      </c>
      <c r="C14" s="2" t="str">
        <f>IFERROR(ROUND(AVERAGEIFS(问卷数据!$BB:$BB,问卷数据!$E:$E,$A$1,问卷数据!$BB:$BB,"&gt;0",问卷数据!$BB:$BB,"&lt;11"),2),"")</f>
        <v/>
      </c>
    </row>
    <row r="15" spans="1:3">
      <c r="A15" s="2" t="s">
        <v>135</v>
      </c>
      <c r="B15" s="2" t="str">
        <f>IFERROR(ROUND(AVERAGEIFS(问卷数据!$BE:$BE,问卷数据!$E:$E,$A$1,问卷数据!$BE:$BE,"&gt;0",问卷数据!$BE:$BE,"&lt;11"),2),"")</f>
        <v/>
      </c>
      <c r="C15" s="2" t="str">
        <f>IFERROR(ROUND(AVERAGEIFS(问卷数据!$BF:$BF,问卷数据!$E:$E,$A$1,问卷数据!$BF:$BF,"&gt;0",问卷数据!$BF:$BF,"&lt;11"),2),"")</f>
        <v/>
      </c>
    </row>
    <row r="16" spans="1:3">
      <c r="A16" s="2" t="s">
        <v>137</v>
      </c>
      <c r="B16" s="2" t="str">
        <f>IFERROR(ROUND(AVERAGEIFS(问卷数据!$BO:$BO,问卷数据!$E:$E,$A$1,问卷数据!$BO:$BO,"&gt;0",问卷数据!$BO:$BO,"&lt;11"),2),"")</f>
        <v/>
      </c>
      <c r="C16" s="2" t="str">
        <f>IFERROR(ROUND(AVERAGEIFS(问卷数据!$BP:$BP,问卷数据!$E:$E,$A$1,问卷数据!$BP:$BP,"&gt;0",问卷数据!$BP:$BP,"&lt;11"),2),"")</f>
        <v/>
      </c>
    </row>
    <row r="17" spans="1:3">
      <c r="A17" s="2" t="s">
        <v>139</v>
      </c>
      <c r="B17" s="2" t="str">
        <f>IFERROR(ROUND(AVERAGEIFS(问卷数据!$BQ:$BQ,问卷数据!$E:$E,$A$1,问卷数据!$BQ:$BQ,"&gt;0",问卷数据!$BQ:$BQ,"&lt;11"),2),"")</f>
        <v/>
      </c>
      <c r="C17" s="2" t="str">
        <f>IFERROR(ROUND(AVERAGEIFS(问卷数据!$BR:$BR,问卷数据!$E:$E,$A$1,问卷数据!$BR:$BR,"&gt;0",问卷数据!$BR:$BR,"&lt;11"),2),"")</f>
        <v/>
      </c>
    </row>
    <row r="18" spans="1:3">
      <c r="A18" s="2" t="s">
        <v>141</v>
      </c>
      <c r="B18" s="2" t="str">
        <f>IFERROR(ROUND(AVERAGEIFS(问卷数据!$BM:$BM,问卷数据!$E:$E,$A$1,问卷数据!$BM:$BM,"&gt;0",问卷数据!$BM:$BM,"&lt;11"),2),"")</f>
        <v/>
      </c>
      <c r="C18" s="2" t="str">
        <f>IFERROR(ROUND(AVERAGEIFS(问卷数据!$BN:$BN,问卷数据!$E:$E,$A$1,问卷数据!$BN:$BN,"&gt;0",问卷数据!$BN:$BN,"&lt;11"),2),"")</f>
        <v/>
      </c>
    </row>
    <row r="19" spans="1:3">
      <c r="A19" s="2" t="s">
        <v>143</v>
      </c>
      <c r="B19" s="2" t="str">
        <f>IFERROR(ROUND(AVERAGEIFS(问卷数据!$BK:$BK,问卷数据!$E:$E,$A$1,问卷数据!$BK:$BK,"&gt;0",问卷数据!$BK:$BK,"&lt;11"),2),"")</f>
        <v/>
      </c>
      <c r="C19" s="2" t="str">
        <f>IFERROR(ROUND(AVERAGEIFS(问卷数据!$BL:$BL,问卷数据!$E:$E,$A$1,问卷数据!$BL:$BL,"&gt;0",问卷数据!$BL:$BL,"&lt;11"),2),"")</f>
        <v/>
      </c>
    </row>
    <row r="20" spans="1:3">
      <c r="A20" s="4" t="s">
        <v>124</v>
      </c>
      <c r="B20" s="4" t="str">
        <f>IFERROR(ROUND(AVERAGE(B21:B28),2),"")</f>
        <v/>
      </c>
      <c r="C20" s="4" t="str">
        <f>IFERROR(ROUND(AVERAGE(C21:C28),2),"")</f>
        <v/>
      </c>
    </row>
    <row r="21" spans="1:3">
      <c r="A21" s="2" t="s">
        <v>125</v>
      </c>
      <c r="B21" s="2" t="str">
        <f>IFERROR(ROUND(AVERAGEIFS(问卷数据!$O:$O,问卷数据!$E:$E,$A$1,问卷数据!$O:$O,"&gt;0",问卷数据!$O:$O,"&lt;11"),2),"")</f>
        <v/>
      </c>
      <c r="C21" s="2" t="str">
        <f>IFERROR(ROUND(AVERAGEIFS(问卷数据!$P:$P,问卷数据!$E:$E,$A$1,问卷数据!$P:$P,"&gt;0",问卷数据!$P:$P,"&lt;11"),2),"")</f>
        <v/>
      </c>
    </row>
    <row r="22" spans="1:3">
      <c r="A22" s="2" t="s">
        <v>126</v>
      </c>
      <c r="B22" s="2" t="str">
        <f>IFERROR(ROUND(AVERAGEIFS(问卷数据!$S:$S,问卷数据!$E:$E,$A$1,问卷数据!$S:$S,"&gt;0",问卷数据!$S:$S,"&lt;11"),2),"")</f>
        <v/>
      </c>
      <c r="C22" s="2" t="str">
        <f>IFERROR(ROUND(AVERAGEIFS(问卷数据!$T:$T,问卷数据!$E:$E,$A$1,问卷数据!$T:$T,"&gt;0",问卷数据!$T:$T,"&lt;11"),2),"")</f>
        <v/>
      </c>
    </row>
    <row r="23" spans="1:3">
      <c r="A23" s="2" t="s">
        <v>128</v>
      </c>
      <c r="B23" s="2" t="str">
        <f>IFERROR(ROUND(AVERAGEIFS(问卷数据!$W:$W,问卷数据!$E:$E,$A$1,问卷数据!$W:$W,"&gt;0",问卷数据!$W:$W,"&lt;11"),2),"")</f>
        <v/>
      </c>
      <c r="C23" s="2" t="str">
        <f>IFERROR(ROUND(AVERAGEIFS(问卷数据!$X:$X,问卷数据!$E:$E,$A$1,问卷数据!$X:$X,"&gt;0",问卷数据!$X:$X,"&lt;11"),2),"")</f>
        <v/>
      </c>
    </row>
    <row r="24" spans="1:3">
      <c r="A24" s="2" t="s">
        <v>130</v>
      </c>
      <c r="B24" s="2" t="str">
        <f>IFERROR(ROUND(AVERAGEIFS(问卷数据!$U:$U,问卷数据!$E:$E,$A$1,问卷数据!$U:$U,"&gt;0",问卷数据!$U:$U,"&lt;11"),2),"")</f>
        <v/>
      </c>
      <c r="C24" s="2" t="str">
        <f>IFERROR(ROUND(AVERAGEIFS(问卷数据!$V:$V,问卷数据!$E:$E,$A$1,问卷数据!$V:$V,"&gt;0",问卷数据!$V:$V,"&lt;11"),2),"")</f>
        <v/>
      </c>
    </row>
    <row r="25" spans="1:3">
      <c r="A25" s="2" t="s">
        <v>132</v>
      </c>
      <c r="B25" s="2" t="str">
        <f>IFERROR(ROUND(AVERAGEIFS(问卷数据!$AA:$AA,问卷数据!$E:$E,$A$1,问卷数据!$AA:$AA,"&gt;0",问卷数据!$AA:$AA,"&lt;11"),2),"")</f>
        <v/>
      </c>
      <c r="C25" s="2" t="str">
        <f>IFERROR(ROUND(AVERAGEIFS(问卷数据!$AB:$AB,问卷数据!$E:$E,$A$1,问卷数据!$AB:$AB,"&gt;0",问卷数据!$AB:$AB,"&lt;11"),2),"")</f>
        <v/>
      </c>
    </row>
    <row r="26" spans="1:3">
      <c r="A26" s="2" t="s">
        <v>134</v>
      </c>
      <c r="B26" s="2" t="str">
        <f>IFERROR(ROUND(AVERAGEIFS(问卷数据!$Q:$Q,问卷数据!$E:$E,$A$1,问卷数据!$Q:$Q,"&gt;0",问卷数据!$Q:$Q,"&lt;11"),2),"")</f>
        <v/>
      </c>
      <c r="C26" s="2" t="str">
        <f>IFERROR(ROUND(AVERAGEIFS(问卷数据!$R:$R,问卷数据!$E:$E,$A$1,问卷数据!$R:$R,"&gt;0",问卷数据!$R:$R,"&lt;11"),2),"")</f>
        <v/>
      </c>
    </row>
    <row r="27" spans="1:3">
      <c r="A27" s="2" t="s">
        <v>136</v>
      </c>
      <c r="B27" s="2" t="str">
        <f>IFERROR(ROUND(AVERAGEIFS(问卷数据!$Y:$Y,问卷数据!$E:$E,$A$1,问卷数据!$Y:$Y,"&gt;0",问卷数据!$Y:$Y,"&lt;11"),2),"")</f>
        <v/>
      </c>
      <c r="C27" s="2" t="str">
        <f>IFERROR(ROUND(AVERAGEIFS(问卷数据!$Z:$Z,问卷数据!$E:$E,$A$1,问卷数据!$Z:$Z,"&gt;0",问卷数据!$Z:$Z,"&lt;11"),2),"")</f>
        <v/>
      </c>
    </row>
    <row r="28" spans="1:3">
      <c r="A28" s="2" t="s">
        <v>152</v>
      </c>
      <c r="B28" s="2" t="str">
        <f>IFERROR(ROUND(AVERAGEIFS(问卷数据!$M:$M,问卷数据!$E:$E,$A$1,问卷数据!$M:$M,"&gt;0",问卷数据!$M:$M,"&lt;11"),2),"")</f>
        <v/>
      </c>
      <c r="C28" s="2" t="str">
        <f>IFERROR(ROUND(AVERAGEIFS(问卷数据!$N:$N,问卷数据!$E:$E,$A$1,问卷数据!$N:$N,"&gt;0",问卷数据!$N:$N,"&lt;11"),2),"")</f>
        <v/>
      </c>
    </row>
    <row r="29" spans="1:3">
      <c r="A29" s="4" t="s">
        <v>140</v>
      </c>
      <c r="B29" s="4" t="str">
        <f>IFERROR(ROUND(AVERAGE(B30:B33),2),"")</f>
        <v/>
      </c>
      <c r="C29" s="4" t="str">
        <f>IFERROR(ROUND(AVERAGE(C30:C33),2),"")</f>
        <v/>
      </c>
    </row>
    <row r="30" spans="1:3">
      <c r="A30" s="2" t="s">
        <v>142</v>
      </c>
      <c r="B30" s="2" t="str">
        <f>IFERROR(ROUND(AVERAGEIFS(问卷数据!$AK:$AK,问卷数据!$E:$E,$A$1,问卷数据!$AK:$AK,"&gt;0",问卷数据!$AK:$AK,"&lt;11"),2),"")</f>
        <v/>
      </c>
      <c r="C30" s="2" t="str">
        <f>IFERROR(ROUND(AVERAGEIFS(问卷数据!$AL:$AL,问卷数据!$E:$E,$A$1,问卷数据!$AL:$AL,"&gt;0",问卷数据!$AL:$AL,"&lt;11"),2),"")</f>
        <v/>
      </c>
    </row>
    <row r="31" spans="1:3">
      <c r="A31" s="2" t="s">
        <v>144</v>
      </c>
      <c r="B31" s="2" t="str">
        <f>IFERROR(ROUND(AVERAGEIFS(问卷数据!$AM:$AM,问卷数据!$E:$E,$A$1,问卷数据!$AM:$AM,"&gt;0",问卷数据!$AM:$AM,"&lt;11"),2),"")</f>
        <v/>
      </c>
      <c r="C31" s="2" t="str">
        <f>IFERROR(ROUND(AVERAGEIFS(问卷数据!$AN:$AN,问卷数据!$E:$E,$A$1,问卷数据!$AN:$AN,"&gt;0",问卷数据!$AN:$AN,"&lt;11"),2),"")</f>
        <v/>
      </c>
    </row>
    <row r="32" spans="1:3">
      <c r="A32" s="2" t="s">
        <v>145</v>
      </c>
      <c r="B32" s="2" t="str">
        <f>IFERROR(ROUND(AVERAGEIFS(问卷数据!$AQ:$AQ,问卷数据!$E:$E,$A$1,问卷数据!$AQ:$AQ,"&gt;0",问卷数据!$AQ:$AQ,"&lt;11"),2),"")</f>
        <v/>
      </c>
      <c r="C32" s="2" t="str">
        <f>IFERROR(ROUND(AVERAGEIFS(问卷数据!$AR:$AR,问卷数据!$E:$E,$A$1,问卷数据!$AR:$AR,"&gt;0",问卷数据!$AR:$AR,"&lt;11"),2),"")</f>
        <v/>
      </c>
    </row>
    <row r="33" spans="1:3">
      <c r="A33" s="2" t="s">
        <v>146</v>
      </c>
      <c r="B33" s="2" t="str">
        <f>IFERROR(ROUND(AVERAGEIFS(问卷数据!$AO:$AO,问卷数据!$E:$E,$A$1,问卷数据!$AO:$AO,"&gt;0",问卷数据!$AO:$AO,"&lt;11"),2),"")</f>
        <v/>
      </c>
      <c r="C33" s="2" t="str">
        <f>IFERROR(ROUND(AVERAGEIFS(问卷数据!$AP:$AP,问卷数据!$E:$E,$A$1,问卷数据!$AP:$AP,"&gt;0",问卷数据!$AP:$AP,"&lt;11"),2),"")</f>
        <v/>
      </c>
    </row>
    <row r="34" spans="1:3">
      <c r="A34" s="4" t="s">
        <v>147</v>
      </c>
      <c r="B34" s="4" t="str">
        <f>IFERROR(ROUND(AVERAGE(B35:B38),2),"")</f>
        <v/>
      </c>
      <c r="C34" s="4" t="str">
        <f>IFERROR(ROUND(AVERAGE(C35:C38),2),"")</f>
        <v/>
      </c>
    </row>
    <row r="35" spans="1:3">
      <c r="A35" s="2" t="s">
        <v>148</v>
      </c>
      <c r="B35" s="2" t="str">
        <f>IFERROR(ROUND(AVERAGEIFS(问卷数据!$BV:$BV,问卷数据!$E:$E,$A$1,问卷数据!$BV:$BV,"&gt;0",问卷数据!$BV:$BV,"&lt;11"),2),"")</f>
        <v/>
      </c>
      <c r="C35" s="2" t="str">
        <f>IFERROR(ROUND(AVERAGEIFS(问卷数据!$BW:$BW,问卷数据!$E:$E,$A$1,问卷数据!$BW:$BW,"&gt;0",问卷数据!$BW:$BW,"&lt;11"),2),"")</f>
        <v/>
      </c>
    </row>
    <row r="36" spans="1:3">
      <c r="A36" s="2" t="s">
        <v>149</v>
      </c>
      <c r="B36" s="2" t="str">
        <f>IFERROR(ROUND(AVERAGEIFS(问卷数据!$BY:$BY,问卷数据!$E:$E,$A$1,问卷数据!$BY:$BY,"&gt;0",问卷数据!$BY:$BY,"&lt;11"),2),"")</f>
        <v/>
      </c>
      <c r="C36" s="2" t="str">
        <f>IFERROR(ROUND(AVERAGEIFS(问卷数据!$BZ:$BZ,问卷数据!$E:$E,$A$1,问卷数据!$BZ:$BZ,"&gt;0",问卷数据!$BZ:$BZ,"&lt;11"),2),"")</f>
        <v/>
      </c>
    </row>
    <row r="37" spans="1:3" ht="16">
      <c r="A37" s="2" t="s">
        <v>150</v>
      </c>
      <c r="B37" s="7" t="str">
        <f>IFERROR(ROUND(AVERAGEIFS(问卷数据!$CB:$CB,问卷数据!$E:$E,$A$1,问卷数据!$CB:$CB,"&gt;0",问卷数据!$CB:$CB,"&lt;11"),2),"")</f>
        <v/>
      </c>
      <c r="C37" s="7" t="str">
        <f>IFERROR(ROUND(AVERAGEIFS(问卷数据!$CC:$CC,问卷数据!$E:$E,$A$1,问卷数据!$CC:$CC,"&gt;0",问卷数据!$CC:$CC,"&lt;11"),2),"")</f>
        <v/>
      </c>
    </row>
    <row r="38" spans="1:3">
      <c r="A38" s="2" t="s">
        <v>151</v>
      </c>
      <c r="B38" s="2" t="str">
        <f>IFERROR(ROUND(AVERAGEIFS(问卷数据!$CE:$CE,问卷数据!$E:$E,$A$1,问卷数据!$CE:$CE,"&gt;0",问卷数据!$CE:$CE,"&lt;11"),2),"")</f>
        <v/>
      </c>
      <c r="C38" s="2" t="str">
        <f>IFERROR(ROUND(AVERAGEIFS(问卷数据!$CF:$CF,问卷数据!$E:$E,$A$1,问卷数据!$CF:$CF,"&gt;0",问卷数据!$CF:$CF,"&lt;11"),2),"")</f>
        <v/>
      </c>
    </row>
  </sheetData>
  <phoneticPr fontId="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3366-386D-944D-A807-498118575D4E}">
  <dimension ref="A1:C38"/>
  <sheetViews>
    <sheetView zoomScale="125" zoomScaleNormal="78" workbookViewId="0">
      <selection activeCell="C26" sqref="C26"/>
    </sheetView>
  </sheetViews>
  <sheetFormatPr baseColWidth="10" defaultColWidth="8.83203125" defaultRowHeight="14"/>
  <cols>
    <col min="1" max="1" width="29.33203125" customWidth="1"/>
    <col min="2" max="3" width="8.83203125" style="2"/>
  </cols>
  <sheetData>
    <row r="1" spans="1:3" s="1" customFormat="1">
      <c r="A1" s="1" t="s">
        <v>109</v>
      </c>
      <c r="B1" s="3" t="str">
        <f>IFERROR(ROUND(AVERAGE(B3,B20,B29,B34),2),"")</f>
        <v/>
      </c>
      <c r="C1" s="3" t="str">
        <f>IFERROR(ROUND(AVERAGE(C3,C20,C29,C34),2),"")</f>
        <v/>
      </c>
    </row>
    <row r="2" spans="1:3">
      <c r="A2" t="s">
        <v>111</v>
      </c>
      <c r="B2" s="2" t="s">
        <v>112</v>
      </c>
      <c r="C2" s="2" t="s">
        <v>113</v>
      </c>
    </row>
    <row r="3" spans="1:3">
      <c r="A3" s="5" t="s">
        <v>114</v>
      </c>
      <c r="B3" s="4" t="str">
        <f>IFERROR(ROUND(AVERAGE(B4:B19),2),"")</f>
        <v/>
      </c>
      <c r="C3" s="4" t="str">
        <f>IFERROR(ROUND(AVERAGE(C4:C19),2),"")</f>
        <v/>
      </c>
    </row>
    <row r="4" spans="1:3">
      <c r="A4" t="s">
        <v>116</v>
      </c>
      <c r="B4" s="2" t="str">
        <f>IFERROR(ROUND(AVERAGEIFS(问卷数据!$AS:$AS,问卷数据!$E:$E,$A$1,问卷数据!$AS:$AS,"&gt;0",问卷数据!$AS:$AS,"&lt;11"),2),"")</f>
        <v/>
      </c>
      <c r="C4" s="2" t="str">
        <f>IFERROR(ROUND(AVERAGEIFS(问卷数据!$AT:AT,问卷数据!$E:$E,$A$1,问卷数据!$AT:$AT,"&gt;0",问卷数据!$AT:$AT,"&lt;11"),2),"")</f>
        <v/>
      </c>
    </row>
    <row r="5" spans="1:3">
      <c r="A5" t="s">
        <v>118</v>
      </c>
      <c r="B5" s="2" t="str">
        <f>IFERROR(ROUND(AVERAGEIFS(问卷数据!$AU:$AU,问卷数据!$E:$E,$A$1,问卷数据!$AU:$AU,"&gt;0",问卷数据!$AU:$AU,"&lt;11"),2),"")</f>
        <v/>
      </c>
      <c r="C5" s="2" t="str">
        <f>IFERROR(ROUND(AVERAGEIFS(问卷数据!$AV:$AV,问卷数据!$E:$E,$A$1,问卷数据!$AV:$AV,"&gt;0",问卷数据!$AV:$AV,"&lt;11"),2),"")</f>
        <v/>
      </c>
    </row>
    <row r="6" spans="1:3">
      <c r="A6" t="s">
        <v>120</v>
      </c>
      <c r="B6" s="2" t="str">
        <f>IFERROR(ROUND(AVERAGEIFS(问卷数据!$AW:$AW,问卷数据!$E:$E,$A$1,问卷数据!$AW:$AW,"&gt;0",问卷数据!$AW:$AW,"&lt;11"),2),"")</f>
        <v/>
      </c>
      <c r="C6" s="2" t="str">
        <f>IFERROR(ROUND(AVERAGEIFS(问卷数据!$AX:$AX,问卷数据!$E:$E,$A$1,问卷数据!$AX:$AX,"&gt;0",问卷数据!$AX:$AX,"&lt;11"),2),"")</f>
        <v/>
      </c>
    </row>
    <row r="7" spans="1:3">
      <c r="A7" t="s">
        <v>122</v>
      </c>
      <c r="B7" s="2" t="str">
        <f>IFERROR(ROUND(AVERAGEIFS(问卷数据!$AY:$AY,问卷数据!$E:$E,$A$1,问卷数据!$AY:$AY,"&gt;0",问卷数据!$AY:$AY,"&lt;11"),2),"")</f>
        <v/>
      </c>
      <c r="C7" s="2" t="str">
        <f>IFERROR(ROUND(AVERAGEIFS(问卷数据!$AZ:$AZ,问卷数据!$E:$E,$A$1,问卷数据!$AZ:$AZ,"&gt;0",问卷数据!$AZ:$AZ,"&lt;11"),2),"")</f>
        <v/>
      </c>
    </row>
    <row r="8" spans="1:3">
      <c r="A8" t="s">
        <v>115</v>
      </c>
      <c r="B8" s="2" t="str">
        <f>IFERROR(ROUND(AVERAGEIFS(问卷数据!$AE:$AE,问卷数据!$E:$E,$A$1,问卷数据!$AE:$AE,"&gt;0",问卷数据!$AE:$AE,"&lt;11"),2),"")</f>
        <v/>
      </c>
      <c r="C8" s="2" t="str">
        <f>IFERROR(ROUND(AVERAGEIFS(问卷数据!$AF:$AF,问卷数据!$E:$E,$A$1,问卷数据!$AF:$AF,"&gt;0",问卷数据!$AF:$AF,"&lt;11"),2),"")</f>
        <v/>
      </c>
    </row>
    <row r="9" spans="1:3">
      <c r="A9" t="s">
        <v>119</v>
      </c>
      <c r="B9" s="2" t="str">
        <f>IFERROR(ROUND(AVERAGEIFS(问卷数据!$AI:$AI,问卷数据!$E:$E,$A$1,问卷数据!$AI:$AI,"&gt;0",问卷数据!$AI:$AI,"&lt;11"),2),"")</f>
        <v/>
      </c>
      <c r="C9" s="2" t="str">
        <f>IFERROR(ROUND(AVERAGEIFS(问卷数据!$AJ:$AJ,问卷数据!$E:$E,$A$1,问卷数据!$AJ:$AJ,"&gt;0",问卷数据!$AJ:$AJ,"&lt;11"),2),"")</f>
        <v/>
      </c>
    </row>
    <row r="10" spans="1:3" ht="16">
      <c r="A10" t="s">
        <v>117</v>
      </c>
      <c r="B10" s="7" t="str">
        <f>IFERROR(ROUND(AVERAGEIFS(问卷数据!$AG:$AG,问卷数据!$E:$E,$A$1,问卷数据!$AG:$AG,"&gt;0",问卷数据!$AG:$AG,"&lt;11"),2),"")</f>
        <v/>
      </c>
      <c r="C10" s="7" t="str">
        <f>IFERROR(ROUND(AVERAGEIFS(问卷数据!$AH:$AH,问卷数据!$E:$E,$A$1,问卷数据!$AH:$AH,"&gt;0",问卷数据!$AH:$AH,"&lt;11"),2),"")</f>
        <v/>
      </c>
    </row>
    <row r="11" spans="1:3">
      <c r="A11" t="s">
        <v>127</v>
      </c>
      <c r="B11" s="2" t="str">
        <f>IFERROR(ROUND(AVERAGEIFS(问卷数据!$BC:$BC,问卷数据!$E:$E,$A$1,问卷数据!$BC:$BC,"&gt;0",问卷数据!$BC:$BC,"&lt;11"),2),"")</f>
        <v/>
      </c>
      <c r="C11" s="2" t="str">
        <f>IFERROR(ROUND(AVERAGEIFS(问卷数据!$BD:$BD,问卷数据!$E:$E,$A$1,问卷数据!$BD:$BD,"&gt;0",问卷数据!$BD:$BD,"&lt;11"),2),"")</f>
        <v/>
      </c>
    </row>
    <row r="12" spans="1:3">
      <c r="A12" t="s">
        <v>129</v>
      </c>
      <c r="B12" s="2" t="str">
        <f>IFERROR(ROUND(AVERAGEIFS(问卷数据!$BG:$BG,问卷数据!$E:$E,$A$1,问卷数据!$BG:$BG,"&gt;0",问卷数据!$BG:$BG,"&lt;11"),2),"")</f>
        <v/>
      </c>
      <c r="C12" s="2" t="str">
        <f>IFERROR(ROUND(AVERAGEIFS(问卷数据!$BH:$BH,问卷数据!$E:$E,$A$1,问卷数据!$BH:$BH,"&gt;0",问卷数据!$BH:$BH,"&lt;11"),2),"")</f>
        <v/>
      </c>
    </row>
    <row r="13" spans="1:3">
      <c r="A13" t="s">
        <v>131</v>
      </c>
      <c r="B13" s="2" t="str">
        <f>IFERROR(ROUND(AVERAGEIFS(问卷数据!$BI:$BI,问卷数据!$E:$E,$A$1,问卷数据!$BI:$BI,"&gt;0",问卷数据!$BI:$BI,"&lt;11"),2),"")</f>
        <v/>
      </c>
      <c r="C13" s="2" t="str">
        <f>IFERROR(ROUND(AVERAGEIFS(问卷数据!$BJ:$BJ,问卷数据!$E:$E,$A$1,问卷数据!$BJ:$BJ,"&gt;0",问卷数据!$BJ:$BJ,"&lt;11"),2),"")</f>
        <v/>
      </c>
    </row>
    <row r="14" spans="1:3">
      <c r="A14" t="s">
        <v>133</v>
      </c>
      <c r="B14" s="2" t="str">
        <f>IFERROR(ROUND(AVERAGEIFS(问卷数据!$BA:$BA,问卷数据!$E:$E,$A$1,问卷数据!$BA:$BA,"&gt;0",问卷数据!$BA:$BA,"&lt;11"),2),"")</f>
        <v/>
      </c>
      <c r="C14" s="2" t="str">
        <f>IFERROR(ROUND(AVERAGEIFS(问卷数据!$BB:$BB,问卷数据!$E:$E,$A$1,问卷数据!$BB:$BB,"&gt;0",问卷数据!$BB:$BB,"&lt;11"),2),"")</f>
        <v/>
      </c>
    </row>
    <row r="15" spans="1:3">
      <c r="A15" t="s">
        <v>135</v>
      </c>
      <c r="B15" s="2" t="str">
        <f>IFERROR(ROUND(AVERAGEIFS(问卷数据!$BE:$BE,问卷数据!$E:$E,$A$1,问卷数据!$BE:$BE,"&gt;0",问卷数据!$BE:$BE,"&lt;11"),2),"")</f>
        <v/>
      </c>
      <c r="C15" s="2" t="str">
        <f>IFERROR(ROUND(AVERAGEIFS(问卷数据!$BF:$BF,问卷数据!$E:$E,$A$1,问卷数据!$BF:$BF,"&gt;0",问卷数据!$BF:$BF,"&lt;11"),2),"")</f>
        <v/>
      </c>
    </row>
    <row r="16" spans="1:3">
      <c r="A16" t="s">
        <v>137</v>
      </c>
      <c r="B16" s="2" t="str">
        <f>IFERROR(ROUND(AVERAGEIFS(问卷数据!$BO:$BO,问卷数据!$E:$E,$A$1,问卷数据!$BO:$BO,"&gt;0",问卷数据!$BO:$BO,"&lt;11"),2),"")</f>
        <v/>
      </c>
      <c r="C16" s="2" t="str">
        <f>IFERROR(ROUND(AVERAGEIFS(问卷数据!$BP:$BP,问卷数据!$E:$E,$A$1,问卷数据!$BP:$BP,"&gt;0",问卷数据!$BP:$BP,"&lt;11"),2),"")</f>
        <v/>
      </c>
    </row>
    <row r="17" spans="1:3">
      <c r="A17" t="s">
        <v>139</v>
      </c>
      <c r="B17" s="2" t="str">
        <f>IFERROR(ROUND(AVERAGEIFS(问卷数据!$BQ:$BQ,问卷数据!$E:$E,$A$1,问卷数据!$BQ:$BQ,"&gt;0",问卷数据!$BQ:$BQ,"&lt;11"),2),"")</f>
        <v/>
      </c>
      <c r="C17" s="2" t="str">
        <f>IFERROR(ROUND(AVERAGEIFS(问卷数据!$BR:$BR,问卷数据!$E:$E,$A$1,问卷数据!$BR:$BR,"&gt;0",问卷数据!$BR:$BR,"&lt;11"),2),"")</f>
        <v/>
      </c>
    </row>
    <row r="18" spans="1:3">
      <c r="A18" t="s">
        <v>141</v>
      </c>
      <c r="B18" s="2" t="str">
        <f>IFERROR(ROUND(AVERAGEIFS(问卷数据!$BM:$BM,问卷数据!$E:$E,$A$1,问卷数据!$BM:$BM,"&gt;0",问卷数据!$BM:$BM,"&lt;11"),2),"")</f>
        <v/>
      </c>
      <c r="C18" s="2" t="str">
        <f>IFERROR(ROUND(AVERAGEIFS(问卷数据!$BN:$BN,问卷数据!$E:$E,$A$1,问卷数据!$BN:$BN,"&gt;0",问卷数据!$BN:$BN,"&lt;11"),2),"")</f>
        <v/>
      </c>
    </row>
    <row r="19" spans="1:3">
      <c r="A19" t="s">
        <v>143</v>
      </c>
      <c r="B19" s="2" t="str">
        <f>IFERROR(ROUND(AVERAGEIFS(问卷数据!$BK:$BK,问卷数据!$E:$E,$A$1,问卷数据!$BK:$BK,"&gt;0",问卷数据!$BK:$BK,"&lt;11"),2),"")</f>
        <v/>
      </c>
      <c r="C19" s="2" t="str">
        <f>IFERROR(ROUND(AVERAGEIFS(问卷数据!$BL:$BL,问卷数据!$E:$E,$A$1,问卷数据!$BL:$BL,"&gt;0",问卷数据!$BL:$BL,"&lt;11"),2),"")</f>
        <v/>
      </c>
    </row>
    <row r="20" spans="1:3">
      <c r="A20" s="5" t="s">
        <v>124</v>
      </c>
      <c r="B20" s="4" t="str">
        <f>IFERROR(ROUND(AVERAGE(B21:B28),2),"")</f>
        <v/>
      </c>
      <c r="C20" s="4" t="str">
        <f>IFERROR(ROUND(AVERAGE(C21:C28),2),"")</f>
        <v/>
      </c>
    </row>
    <row r="21" spans="1:3">
      <c r="A21" t="s">
        <v>125</v>
      </c>
      <c r="B21" s="2" t="str">
        <f>IFERROR(ROUND(AVERAGEIFS(问卷数据!$O:$O,问卷数据!$E:$E,$A$1,问卷数据!$O:$O,"&gt;0",问卷数据!$O:$O,"&lt;11"),2),"")</f>
        <v/>
      </c>
      <c r="C21" s="2" t="str">
        <f>IFERROR(ROUND(AVERAGEIFS(问卷数据!$P:$P,问卷数据!$E:$E,$A$1,问卷数据!$P:$P,"&gt;0",问卷数据!$P:$P,"&lt;11"),2),"")</f>
        <v/>
      </c>
    </row>
    <row r="22" spans="1:3">
      <c r="A22" t="s">
        <v>126</v>
      </c>
      <c r="B22" s="2" t="str">
        <f>IFERROR(ROUND(AVERAGEIFS(问卷数据!$S:$S,问卷数据!$E:$E,$A$1,问卷数据!$S:$S,"&gt;0",问卷数据!$S:$S,"&lt;11"),2),"")</f>
        <v/>
      </c>
      <c r="C22" s="2" t="str">
        <f>IFERROR(ROUND(AVERAGEIFS(问卷数据!$T:$T,问卷数据!$E:$E,$A$1,问卷数据!$T:$T,"&gt;0",问卷数据!$T:$T,"&lt;11"),2),"")</f>
        <v/>
      </c>
    </row>
    <row r="23" spans="1:3">
      <c r="A23" t="s">
        <v>128</v>
      </c>
      <c r="B23" s="2" t="str">
        <f>IFERROR(ROUND(AVERAGEIFS(问卷数据!$W:$W,问卷数据!$E:$E,$A$1,问卷数据!$W:$W,"&gt;0",问卷数据!$W:$W,"&lt;11"),2),"")</f>
        <v/>
      </c>
      <c r="C23" s="2" t="str">
        <f>IFERROR(ROUND(AVERAGEIFS(问卷数据!$X:$X,问卷数据!$E:$E,$A$1,问卷数据!$X:$X,"&gt;0",问卷数据!$X:$X,"&lt;11"),2),"")</f>
        <v/>
      </c>
    </row>
    <row r="24" spans="1:3">
      <c r="A24" t="s">
        <v>130</v>
      </c>
      <c r="B24" s="2" t="str">
        <f>IFERROR(ROUND(AVERAGEIFS(问卷数据!$U:$U,问卷数据!$E:$E,$A$1,问卷数据!$U:$U,"&gt;0",问卷数据!$U:$U,"&lt;11"),2),"")</f>
        <v/>
      </c>
      <c r="C24" s="2" t="str">
        <f>IFERROR(ROUND(AVERAGEIFS(问卷数据!$V:$V,问卷数据!$E:$E,$A$1,问卷数据!$V:$V,"&gt;0",问卷数据!$V:$V,"&lt;11"),2),"")</f>
        <v/>
      </c>
    </row>
    <row r="25" spans="1:3">
      <c r="A25" t="s">
        <v>132</v>
      </c>
      <c r="B25" s="2" t="str">
        <f>IFERROR(ROUND(AVERAGEIFS(问卷数据!$AA:$AA,问卷数据!$E:$E,$A$1,问卷数据!$AA:$AA,"&gt;0",问卷数据!$AA:$AA,"&lt;11"),2),"")</f>
        <v/>
      </c>
      <c r="C25" s="2" t="str">
        <f>IFERROR(ROUND(AVERAGEIFS(问卷数据!$AB:$AB,问卷数据!$E:$E,$A$1,问卷数据!$AB:$AB,"&gt;0",问卷数据!$AB:$AB,"&lt;11"),2),"")</f>
        <v/>
      </c>
    </row>
    <row r="26" spans="1:3" ht="18">
      <c r="A26" t="s">
        <v>134</v>
      </c>
      <c r="B26" s="8" t="str">
        <f>IFERROR(ROUND(AVERAGEIFS(问卷数据!$Q:$Q,问卷数据!$E:$E,$A$1,问卷数据!$Q:$Q,"&gt;0",问卷数据!$Q:$Q,"&lt;11"),2),"")</f>
        <v/>
      </c>
      <c r="C26" s="9" t="str">
        <f>IFERROR(ROUND(AVERAGEIFS(问卷数据!$R:$R,问卷数据!$E:$E,$A$1,问卷数据!$R:$R,"&gt;0",问卷数据!$R:$R,"&lt;11"),2),"")</f>
        <v/>
      </c>
    </row>
    <row r="27" spans="1:3">
      <c r="A27" t="s">
        <v>136</v>
      </c>
      <c r="B27" s="2" t="str">
        <f>IFERROR(ROUND(AVERAGEIFS(问卷数据!$Y:$Y,问卷数据!$E:$E,$A$1,问卷数据!$Y:$Y,"&gt;0",问卷数据!$Y:$Y,"&lt;11"),2),"")</f>
        <v/>
      </c>
      <c r="C27" s="2" t="str">
        <f>IFERROR(ROUND(AVERAGEIFS(问卷数据!$Z:$Z,问卷数据!$E:$E,$A$1,问卷数据!$Z:$Z,"&gt;0",问卷数据!$Z:$Z,"&lt;11"),2),"")</f>
        <v/>
      </c>
    </row>
    <row r="28" spans="1:3">
      <c r="A28" t="s">
        <v>152</v>
      </c>
      <c r="B28" s="2" t="str">
        <f>IFERROR(ROUND(AVERAGEIFS(问卷数据!$M:$M,问卷数据!$E:$E,$A$1,问卷数据!$M:$M,"&gt;0",问卷数据!$M:$M,"&lt;11"),2),"")</f>
        <v/>
      </c>
      <c r="C28" s="2" t="str">
        <f>IFERROR(ROUND(AVERAGEIFS(问卷数据!$N:$N,问卷数据!$E:$E,$A$1,问卷数据!$N:$N,"&gt;0",问卷数据!$N:$N,"&lt;11"),2),"")</f>
        <v/>
      </c>
    </row>
    <row r="29" spans="1:3">
      <c r="A29" s="5" t="s">
        <v>140</v>
      </c>
      <c r="B29" s="4" t="str">
        <f>IFERROR(ROUND(AVERAGE(B30:B33),2),"")</f>
        <v/>
      </c>
      <c r="C29" s="4" t="str">
        <f>IFERROR(ROUND(AVERAGE(C30:C33),2),"")</f>
        <v/>
      </c>
    </row>
    <row r="30" spans="1:3">
      <c r="A30" t="s">
        <v>142</v>
      </c>
      <c r="B30" s="2" t="str">
        <f>IFERROR(ROUND(AVERAGEIFS(问卷数据!$AK:$AK,问卷数据!$E:$E,$A$1,问卷数据!$AK:$AK,"&gt;0",问卷数据!$AK:$AK,"&lt;11"),2),"")</f>
        <v/>
      </c>
      <c r="C30" s="2" t="str">
        <f>IFERROR(ROUND(AVERAGEIFS(问卷数据!$AL:$AL,问卷数据!$E:$E,$A$1,问卷数据!$AL:$AL,"&gt;0",问卷数据!$AL:$AL,"&lt;11"),2),"")</f>
        <v/>
      </c>
    </row>
    <row r="31" spans="1:3">
      <c r="A31" t="s">
        <v>144</v>
      </c>
      <c r="B31" s="2" t="str">
        <f>IFERROR(ROUND(AVERAGEIFS(问卷数据!$AM:$AM,问卷数据!$E:$E,$A$1,问卷数据!$AM:$AM,"&gt;0",问卷数据!$AM:$AM,"&lt;11"),2),"")</f>
        <v/>
      </c>
      <c r="C31" s="2" t="str">
        <f>IFERROR(ROUND(AVERAGEIFS(问卷数据!$AN:$AN,问卷数据!$E:$E,$A$1,问卷数据!$AN:$AN,"&gt;0",问卷数据!$AN:$AN,"&lt;11"),2),"")</f>
        <v/>
      </c>
    </row>
    <row r="32" spans="1:3">
      <c r="A32" t="s">
        <v>145</v>
      </c>
      <c r="B32" s="2" t="str">
        <f>IFERROR(ROUND(AVERAGEIFS(问卷数据!$AQ:$AQ,问卷数据!$E:$E,$A$1,问卷数据!$AQ:$AQ,"&gt;0",问卷数据!$AQ:$AQ,"&lt;11"),2),"")</f>
        <v/>
      </c>
      <c r="C32" s="2" t="str">
        <f>IFERROR(ROUND(AVERAGEIFS(问卷数据!$AR:$AR,问卷数据!$E:$E,$A$1,问卷数据!$AR:$AR,"&gt;0",问卷数据!$AR:$AR,"&lt;11"),2),"")</f>
        <v/>
      </c>
    </row>
    <row r="33" spans="1:3">
      <c r="A33" t="s">
        <v>146</v>
      </c>
      <c r="B33" s="2" t="str">
        <f>IFERROR(ROUND(AVERAGEIFS(问卷数据!$AO:$AO,问卷数据!$E:$E,$A$1,问卷数据!$AO:$AO,"&gt;0",问卷数据!$AO:$AO,"&lt;11"),2),"")</f>
        <v/>
      </c>
      <c r="C33" s="2" t="str">
        <f>IFERROR(ROUND(AVERAGEIFS(问卷数据!$AP:$AP,问卷数据!$E:$E,$A$1,问卷数据!$AP:$AP,"&gt;0",问卷数据!$AP:$AP,"&lt;11"),2),"")</f>
        <v/>
      </c>
    </row>
    <row r="34" spans="1:3">
      <c r="A34" s="5" t="s">
        <v>147</v>
      </c>
      <c r="B34" s="4" t="str">
        <f>IFERROR(ROUND(AVERAGE(B35:B38),2),"")</f>
        <v/>
      </c>
      <c r="C34" s="4" t="str">
        <f>IFERROR(ROUND(AVERAGE(C35:C38),2),"")</f>
        <v/>
      </c>
    </row>
    <row r="35" spans="1:3">
      <c r="A35" t="s">
        <v>148</v>
      </c>
      <c r="B35" s="2" t="str">
        <f>IFERROR(ROUND(AVERAGEIFS(问卷数据!$BV:$BV,问卷数据!$E:$E,$A$1,问卷数据!$BV:$BV,"&gt;0",问卷数据!$BV:$BV,"&lt;11"),2),"")</f>
        <v/>
      </c>
      <c r="C35" s="2" t="str">
        <f>IFERROR(ROUND(AVERAGEIFS(问卷数据!$BW:$BW,问卷数据!$E:$E,$A$1,问卷数据!$BW:$BW,"&gt;0",问卷数据!$BW:$BW,"&lt;11"),2),"")</f>
        <v/>
      </c>
    </row>
    <row r="36" spans="1:3">
      <c r="A36" t="s">
        <v>149</v>
      </c>
      <c r="B36" s="2" t="str">
        <f>IFERROR(ROUND(AVERAGEIFS(问卷数据!$BY:$BY,问卷数据!$E:$E,$A$1,问卷数据!$BY:$BY,"&gt;0",问卷数据!$BY:$BY,"&lt;11"),2),"")</f>
        <v/>
      </c>
      <c r="C36" s="2" t="str">
        <f>IFERROR(ROUND(AVERAGEIFS(问卷数据!$BZ:$BZ,问卷数据!$E:$E,$A$1,问卷数据!$BZ:$BZ,"&gt;0",问卷数据!$BZ:$BZ,"&lt;11"),2),"")</f>
        <v/>
      </c>
    </row>
    <row r="37" spans="1:3">
      <c r="A37" t="s">
        <v>150</v>
      </c>
      <c r="B37" s="2" t="str">
        <f>IFERROR(ROUND(AVERAGEIFS(问卷数据!$CB:$CB,问卷数据!$E:$E,$A$1,问卷数据!$CB:$CB,"&gt;0",问卷数据!$CB:$CB,"&lt;11"),2),"")</f>
        <v/>
      </c>
      <c r="C37" s="2" t="str">
        <f>IFERROR(ROUND(AVERAGEIFS(问卷数据!$CC:$CC,问卷数据!$E:$E,$A$1,问卷数据!$CC:$CC,"&gt;0",问卷数据!$CC:$CC,"&lt;11"),2),"")</f>
        <v/>
      </c>
    </row>
    <row r="38" spans="1:3">
      <c r="A38" t="s">
        <v>151</v>
      </c>
      <c r="B38" s="2" t="str">
        <f>IFERROR(ROUND(AVERAGEIFS(问卷数据!$CE:$CE,问卷数据!$E:$E,$A$1,问卷数据!$CE:$CE,"&gt;0",问卷数据!$CE:$CE,"&lt;11"),2),"")</f>
        <v/>
      </c>
      <c r="C38" s="2" t="str">
        <f>IFERROR(ROUND(AVERAGEIFS(问卷数据!$CF:$CF,问卷数据!$E:$E,$A$1,问卷数据!$CF:$CF,"&gt;0",问卷数据!$CF:$CF,"&lt;11"),2),"")</f>
        <v/>
      </c>
    </row>
  </sheetData>
  <phoneticPr fontId="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D443-9295-0E49-9F66-520A1EDFCD02}">
  <dimension ref="A1:C27"/>
  <sheetViews>
    <sheetView zoomScale="88" zoomScaleNormal="78" workbookViewId="0">
      <selection activeCell="H21" sqref="H21"/>
    </sheetView>
  </sheetViews>
  <sheetFormatPr baseColWidth="10" defaultColWidth="8.83203125" defaultRowHeight="14"/>
  <cols>
    <col min="1" max="1" width="21.5" customWidth="1"/>
  </cols>
  <sheetData>
    <row r="1" spans="1:3" s="1" customFormat="1">
      <c r="A1" s="3" t="s">
        <v>110</v>
      </c>
      <c r="B1" s="3" t="str">
        <f>IFERROR(ROUND(AVERAGE(B3,B9,B18,B23),2),"")</f>
        <v/>
      </c>
      <c r="C1" s="3" t="str">
        <f>IFERROR(ROUND(AVERAGE(C3,C9,C18,C23),2),"")</f>
        <v/>
      </c>
    </row>
    <row r="2" spans="1:3">
      <c r="A2" s="2" t="s">
        <v>111</v>
      </c>
      <c r="B2" s="2" t="s">
        <v>112</v>
      </c>
      <c r="C2" s="2" t="s">
        <v>113</v>
      </c>
    </row>
    <row r="3" spans="1:3">
      <c r="A3" s="4" t="s">
        <v>114</v>
      </c>
      <c r="B3" s="4" t="str">
        <f>IFERROR(ROUND(AVERAGE(B4:B8),2),"")</f>
        <v/>
      </c>
      <c r="C3" s="4" t="str">
        <f>IFERROR(ROUND(AVERAGE(C4:C8),2),"")</f>
        <v/>
      </c>
    </row>
    <row r="4" spans="1:3">
      <c r="A4" s="2" t="s">
        <v>115</v>
      </c>
      <c r="B4" s="2" t="str">
        <f>IFERROR(ROUND(AVERAGEIFS(问卷数据!$AE:$AE,问卷数据!$E:$E,$A$1,问卷数据!$AE:$AE,"&gt;0",问卷数据!$AE:$AE,"&lt;11"),2),"")</f>
        <v/>
      </c>
      <c r="C4" s="2" t="str">
        <f>IFERROR(ROUND(AVERAGEIFS(问卷数据!$AF:$AF,问卷数据!$E:$E,$A$1,问卷数据!$AF:$AF,"&gt;0",问卷数据!$AF:$AF,"&lt;11"),2),"")</f>
        <v/>
      </c>
    </row>
    <row r="5" spans="1:3" ht="18">
      <c r="A5" s="2" t="s">
        <v>117</v>
      </c>
      <c r="B5" s="9" t="str">
        <f>IFERROR(ROUND(AVERAGEIFS(问卷数据!$AG:$AG,问卷数据!$E:$E,$A$1,问卷数据!$AG:$AG,"&gt;0",问卷数据!$AG:$AG,"&lt;11"),2),"")</f>
        <v/>
      </c>
      <c r="C5" s="8" t="str">
        <f>IFERROR(ROUND(AVERAGEIFS(问卷数据!$AH:$AH,问卷数据!$E:$E,$A$1,问卷数据!$AH:$AH,"&gt;0",问卷数据!$AH:$AH,"&lt;11"),2),"")</f>
        <v/>
      </c>
    </row>
    <row r="6" spans="1:3">
      <c r="A6" s="2" t="s">
        <v>119</v>
      </c>
      <c r="B6" s="2" t="str">
        <f>IFERROR(ROUND(AVERAGEIFS(问卷数据!$AI:$AI,问卷数据!$E:$E,$A$1,问卷数据!$AI:$AI,"&gt;0",问卷数据!$AI:$AI,"&lt;11"),2),"")</f>
        <v/>
      </c>
      <c r="C6" s="2" t="str">
        <f>IFERROR(ROUND(AVERAGEIFS(问卷数据!$AJ:$AJ,问卷数据!$E:$E,$A$1,问卷数据!$AJ:$AJ,"&gt;0",问卷数据!$AJ:$AJ,"&lt;11"),2),"")</f>
        <v/>
      </c>
    </row>
    <row r="7" spans="1:3">
      <c r="A7" s="2" t="s">
        <v>121</v>
      </c>
      <c r="B7" s="2" t="str">
        <f>IFERROR(ROUND(AVERAGEIFS(问卷数据!$BS:$BS,问卷数据!$E:$E,$A$1,问卷数据!$BS:$BS,"&gt;0",问卷数据!$BS:$BS,"&lt;11"),2),"")</f>
        <v/>
      </c>
      <c r="C7" s="2" t="str">
        <f>IFERROR(ROUND(AVERAGEIFS(问卷数据!$BT:$BT,问卷数据!$E:$E,$A$1,问卷数据!$BT:$BT,"&gt;0",问卷数据!$BT:$BT,"&lt;11"),2),"")</f>
        <v/>
      </c>
    </row>
    <row r="8" spans="1:3">
      <c r="A8" s="2" t="s">
        <v>123</v>
      </c>
      <c r="B8" s="2" t="str">
        <f>IFERROR(ROUND(AVERAGEIFS(问卷数据!$BG:$BG,问卷数据!$E:$E,$A$1,问卷数据!$BG:$BG,"&gt;0",问卷数据!$BG:$BG,"&lt;11"),2),"")</f>
        <v/>
      </c>
      <c r="C8" s="2" t="str">
        <f>IFERROR(ROUND(AVERAGEIFS(问卷数据!$BH:$BH,问卷数据!$E:$E,$A$1,问卷数据!$BH:$BH,"&gt;0",问卷数据!$BH:$BH,"&lt;11"),2),"")</f>
        <v/>
      </c>
    </row>
    <row r="9" spans="1:3">
      <c r="A9" s="4" t="s">
        <v>124</v>
      </c>
      <c r="B9" s="4" t="str">
        <f>IFERROR(ROUND(AVERAGE(B10:B17),2),"")</f>
        <v/>
      </c>
      <c r="C9" s="4" t="str">
        <f>IFERROR(ROUND(AVERAGE(C10:C17),2),"")</f>
        <v/>
      </c>
    </row>
    <row r="10" spans="1:3">
      <c r="A10" s="2" t="s">
        <v>125</v>
      </c>
      <c r="B10" s="2" t="str">
        <f>IFERROR(ROUND(AVERAGEIFS(问卷数据!$O:$O,问卷数据!$E:$E,$A$1,问卷数据!$O:$O,"&gt;0",问卷数据!$O:$O,"&lt;11"),2),"")</f>
        <v/>
      </c>
      <c r="C10" s="2" t="str">
        <f>IFERROR(ROUND(AVERAGEIFS(问卷数据!$P:$P,问卷数据!$E:$E,$A$1,问卷数据!$P:$P,"&gt;0",问卷数据!$P:$P,"&lt;11"),2),"")</f>
        <v/>
      </c>
    </row>
    <row r="11" spans="1:3">
      <c r="A11" s="2" t="s">
        <v>126</v>
      </c>
      <c r="B11" s="2" t="str">
        <f>IFERROR(ROUND(AVERAGEIFS(问卷数据!$S:$S,问卷数据!$E:$E,$A$1,问卷数据!$S:$S,"&gt;0",问卷数据!$S:$S,"&lt;11"),2),"")</f>
        <v/>
      </c>
      <c r="C11" s="2" t="str">
        <f>IFERROR(ROUND(AVERAGEIFS(问卷数据!$T:$T,问卷数据!$E:$E,$A$1,问卷数据!$T:$T,"&gt;0",问卷数据!$T:$T,"&lt;11"),2),"")</f>
        <v/>
      </c>
    </row>
    <row r="12" spans="1:3">
      <c r="A12" s="2" t="s">
        <v>128</v>
      </c>
      <c r="B12" s="2" t="str">
        <f>IFERROR(ROUND(AVERAGEIFS(问卷数据!$W:$W,问卷数据!$E:$E,$A$1,问卷数据!$W:$W,"&gt;0",问卷数据!$W:$W,"&lt;11"),2),"")</f>
        <v/>
      </c>
      <c r="C12" s="2" t="str">
        <f>IFERROR(ROUND(AVERAGEIFS(问卷数据!$X:$X,问卷数据!$E:$E,$A$1,问卷数据!$X:$X,"&gt;0",问卷数据!$X:$X,"&lt;11"),2),"")</f>
        <v/>
      </c>
    </row>
    <row r="13" spans="1:3">
      <c r="A13" s="2" t="s">
        <v>130</v>
      </c>
      <c r="B13" s="2" t="str">
        <f>IFERROR(ROUND(AVERAGEIFS(问卷数据!$U:$U,问卷数据!$E:$E,$A$1,问卷数据!$U:$U,"&gt;0",问卷数据!$U:$U,"&lt;11"),2),"")</f>
        <v/>
      </c>
      <c r="C13" s="2" t="str">
        <f>IFERROR(ROUND(AVERAGEIFS(问卷数据!$V:$V,问卷数据!$E:$E,$A$1,问卷数据!$V:$V,"&gt;0",问卷数据!$V:$V,"&lt;11"),2),"")</f>
        <v/>
      </c>
    </row>
    <row r="14" spans="1:3">
      <c r="A14" s="2" t="s">
        <v>132</v>
      </c>
      <c r="B14" s="2" t="str">
        <f>IFERROR(ROUND(AVERAGEIFS(问卷数据!$AA:$AA,问卷数据!$E:$E,$A$1,问卷数据!$AA:$AA,"&gt;0",问卷数据!$AA:$AA,"&lt;11"),2),"")</f>
        <v/>
      </c>
      <c r="C14" s="2" t="str">
        <f>IFERROR(ROUND(AVERAGEIFS(问卷数据!$AB:$AB,问卷数据!$E:$E,$A$1,问卷数据!$AB:$AB,"&gt;0",问卷数据!$AB:$AB,"&lt;11"),2),"")</f>
        <v/>
      </c>
    </row>
    <row r="15" spans="1:3">
      <c r="A15" s="2" t="s">
        <v>134</v>
      </c>
      <c r="B15" s="2" t="str">
        <f>IFERROR(ROUND(AVERAGEIFS(问卷数据!$Q:$Q,问卷数据!$E:$E,$A$1,问卷数据!$Q:$Q,"&gt;0",问卷数据!$Q:$Q,"&lt;11"),2),"")</f>
        <v/>
      </c>
      <c r="C15" s="2" t="str">
        <f>IFERROR(ROUND(AVERAGEIFS(问卷数据!$R:$R,问卷数据!$E:$E,$A$1,问卷数据!$R:$R,"&gt;0",问卷数据!$R:$R,"&lt;11"),2),"")</f>
        <v/>
      </c>
    </row>
    <row r="16" spans="1:3">
      <c r="A16" s="2" t="s">
        <v>136</v>
      </c>
      <c r="B16" s="2" t="str">
        <f>IFERROR(ROUND(AVERAGEIFS(问卷数据!$Y:$Y,问卷数据!$E:$E,$A$1,问卷数据!$Y:$Y,"&gt;0",问卷数据!$Y:$Y,"&lt;11"),2),"")</f>
        <v/>
      </c>
      <c r="C16" s="2" t="str">
        <f>IFERROR(ROUND(AVERAGEIFS(问卷数据!$Z:$Z,问卷数据!$E:$E,$A$1,问卷数据!$Z:$Z,"&gt;0",问卷数据!$Z:$Z,"&lt;11"),2),"")</f>
        <v/>
      </c>
    </row>
    <row r="17" spans="1:3">
      <c r="A17" s="2" t="s">
        <v>138</v>
      </c>
      <c r="B17" s="2" t="str">
        <f>IFERROR(ROUND(AVERAGEIFS(问卷数据!$AC:$AC,问卷数据!$E:$E,$A$1,问卷数据!$AC:$AC,"&gt;0",问卷数据!$AC:$AC,"&lt;11"),2),"")</f>
        <v/>
      </c>
      <c r="C17" s="2" t="str">
        <f>IFERROR(ROUND(AVERAGEIFS(问卷数据!$AD:$AD,问卷数据!$E:$E,$A$1,问卷数据!$AD:$AD,"&gt;0",问卷数据!$AD:$AD,"&lt;11"),2),"")</f>
        <v/>
      </c>
    </row>
    <row r="18" spans="1:3">
      <c r="A18" s="4" t="s">
        <v>140</v>
      </c>
      <c r="B18" s="4" t="str">
        <f>IFERROR(ROUND(AVERAGE(B19:B20,B21:B22),2),"")</f>
        <v/>
      </c>
      <c r="C18" s="4" t="str">
        <f>IFERROR(ROUND(AVERAGE(C19:C20,C21:C22),2),"")</f>
        <v/>
      </c>
    </row>
    <row r="19" spans="1:3">
      <c r="A19" s="2" t="s">
        <v>142</v>
      </c>
      <c r="B19" s="2" t="str">
        <f>IFERROR(ROUND(AVERAGEIFS(问卷数据!$AK:$AK,问卷数据!$E:$E,$A$1,问卷数据!$AK:$AK,"&gt;0",问卷数据!$AK:$AK,"&lt;11"),2),"")</f>
        <v/>
      </c>
      <c r="C19" s="2" t="str">
        <f>IFERROR(ROUND(AVERAGEIFS(问卷数据!$AL:$AL,问卷数据!$E:$E,$A$1,问卷数据!$AL:$AL,"&gt;0",问卷数据!$AL:$AL,"&lt;11"),2),"")</f>
        <v/>
      </c>
    </row>
    <row r="20" spans="1:3">
      <c r="A20" s="2" t="s">
        <v>144</v>
      </c>
      <c r="B20" s="2" t="str">
        <f>IFERROR(ROUND(AVERAGEIFS(问卷数据!$AM:$AM,问卷数据!$E:$E,$A$1,问卷数据!$AM:$AM,"&gt;0",问卷数据!$AM:$AM,"&lt;11"),2),"")</f>
        <v/>
      </c>
      <c r="C20" s="2" t="str">
        <f>IFERROR(ROUND(AVERAGEIFS(问卷数据!$AN:$AN,问卷数据!$E:$E,$A$1,问卷数据!$AN:$AN,"&gt;0",问卷数据!$AN:$AN,"&lt;11"),2),"")</f>
        <v/>
      </c>
    </row>
    <row r="21" spans="1:3">
      <c r="A21" s="2" t="s">
        <v>145</v>
      </c>
      <c r="B21" s="2" t="str">
        <f>IFERROR(ROUND(AVERAGEIFS(问卷数据!$AQ:$AQ,问卷数据!$E:$E,$A$1,问卷数据!$AQ:$AQ,"&gt;0",问卷数据!$AQ:$AQ,"&lt;11"),2),"")</f>
        <v/>
      </c>
      <c r="C21" s="2" t="str">
        <f>IFERROR(ROUND(AVERAGEIFS(问卷数据!$AR:$AR,问卷数据!$E:$E,$A$1,问卷数据!$AR:$AR,"&gt;0",问卷数据!$AR:$AR,"&lt;11"),2),"")</f>
        <v/>
      </c>
    </row>
    <row r="22" spans="1:3">
      <c r="A22" s="2" t="s">
        <v>146</v>
      </c>
      <c r="B22" s="2" t="str">
        <f>IFERROR(ROUND(AVERAGEIFS(问卷数据!$AO:$AO,问卷数据!$E:$E,$A$1,问卷数据!$AO:$AO,"&gt;0",问卷数据!$AO:$AO,"&lt;11"),2),"")</f>
        <v/>
      </c>
      <c r="C22" s="2" t="str">
        <f>IFERROR(ROUND(AVERAGEIFS(问卷数据!$AP:$AP,问卷数据!$E:$E,$A$1,问卷数据!$AP:$AP,"&gt;0",问卷数据!$AP:$AP,"&lt;11"),2),"")</f>
        <v/>
      </c>
    </row>
    <row r="23" spans="1:3">
      <c r="A23" s="4" t="s">
        <v>147</v>
      </c>
      <c r="B23" s="4" t="str">
        <f>IFERROR(ROUND(AVERAGE(B24:B27),2),"")</f>
        <v/>
      </c>
      <c r="C23" s="4" t="str">
        <f>IFERROR(ROUND(AVERAGE(C24:C27),2),"")</f>
        <v/>
      </c>
    </row>
    <row r="24" spans="1:3">
      <c r="A24" s="2" t="s">
        <v>148</v>
      </c>
      <c r="B24" s="2" t="str">
        <f>IFERROR(ROUND(AVERAGEIFS(问卷数据!$BV:$BV,问卷数据!$E:$E,$A$1,问卷数据!$BV:$BV,"&gt;0",问卷数据!$BV:$BV,"&lt;11"),2),"")</f>
        <v/>
      </c>
      <c r="C24" s="2" t="str">
        <f>IFERROR(ROUND(AVERAGEIFS(问卷数据!$BW:$BW,问卷数据!$E:$E,$A$1,问卷数据!$BW:$BW,"&gt;0",问卷数据!$BW:$BW,"&lt;11"),2),"")</f>
        <v/>
      </c>
    </row>
    <row r="25" spans="1:3">
      <c r="A25" s="2" t="s">
        <v>149</v>
      </c>
      <c r="B25" s="2" t="str">
        <f>IFERROR(ROUND(AVERAGEIFS(问卷数据!$BY:$BY,问卷数据!$E:$E,$A$1,问卷数据!$BY:$BY,"&gt;0",问卷数据!$BY:$BY,"&lt;11"),2),"")</f>
        <v/>
      </c>
      <c r="C25" s="2" t="str">
        <f>IFERROR(ROUND(AVERAGEIFS(问卷数据!$BZ:$BZ,问卷数据!$E:$E,$A$1,问卷数据!$BZ:$BZ,"&gt;0",问卷数据!$BZ:$BZ,"&lt;11"),2),"")</f>
        <v/>
      </c>
    </row>
    <row r="26" spans="1:3">
      <c r="A26" s="2" t="s">
        <v>150</v>
      </c>
      <c r="B26" s="2" t="str">
        <f>IFERROR(ROUND(AVERAGEIFS(问卷数据!$CB:$CB,问卷数据!$E:$E,$A$1,问卷数据!$CB:$CB,"&gt;0",问卷数据!$CB:$CB,"&lt;11"),2),"")</f>
        <v/>
      </c>
      <c r="C26" s="2" t="str">
        <f>IFERROR(ROUND(AVERAGEIFS(问卷数据!$CC:$CC,问卷数据!$E:$E,$A$1,问卷数据!$CC:$CC,"&gt;0",问卷数据!$CC:$CC,"&lt;11"),2),"")</f>
        <v/>
      </c>
    </row>
    <row r="27" spans="1:3">
      <c r="A27" s="2" t="s">
        <v>151</v>
      </c>
      <c r="B27" s="2" t="str">
        <f>IFERROR(ROUND(AVERAGEIFS(问卷数据!$CE:$CE,问卷数据!$E:$E,$A$1,问卷数据!$CE:$CE,"&gt;0",问卷数据!$CE:$CE,"&lt;11"),2),"")</f>
        <v/>
      </c>
      <c r="C27" s="2" t="str">
        <f>IFERROR(ROUND(AVERAGEIFS(问卷数据!$CF:$CF,问卷数据!$E:$E,$A$1,问卷数据!$CF:$CF,"&gt;0",问卷数据!$CF:$CF,"&lt;11"),2),"")</f>
        <v/>
      </c>
    </row>
  </sheetData>
  <phoneticPr fontId="1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B749-87C7-C64F-9181-3370AA03366F}">
  <dimension ref="A1:C27"/>
  <sheetViews>
    <sheetView zoomScale="88" zoomScaleNormal="78" workbookViewId="0">
      <selection activeCell="J56" sqref="J56"/>
    </sheetView>
  </sheetViews>
  <sheetFormatPr baseColWidth="10" defaultColWidth="8.83203125" defaultRowHeight="14"/>
  <cols>
    <col min="1" max="1" width="20.6640625" style="2" customWidth="1"/>
    <col min="2" max="3" width="8.83203125" style="2"/>
  </cols>
  <sheetData>
    <row r="1" spans="1:3" s="1" customFormat="1">
      <c r="A1" s="3" t="s">
        <v>107</v>
      </c>
      <c r="B1" s="3" t="str">
        <f>IFERROR(ROUND(AVERAGE(B3,B9,B18,B23),2),"")</f>
        <v/>
      </c>
      <c r="C1" s="3" t="str">
        <f>IFERROR(ROUND(AVERAGE(C3,C9,C18,C23),2),"")</f>
        <v/>
      </c>
    </row>
    <row r="2" spans="1:3">
      <c r="A2" s="2" t="s">
        <v>111</v>
      </c>
      <c r="B2" s="2" t="s">
        <v>112</v>
      </c>
      <c r="C2" s="2" t="s">
        <v>113</v>
      </c>
    </row>
    <row r="3" spans="1:3">
      <c r="A3" s="4" t="s">
        <v>114</v>
      </c>
      <c r="B3" s="4" t="str">
        <f>IFERROR(ROUND(AVERAGE(B4:B8),2),"")</f>
        <v/>
      </c>
      <c r="C3" s="4" t="str">
        <f>IFERROR(ROUND(AVERAGE(C4:C8),2),"")</f>
        <v/>
      </c>
    </row>
    <row r="4" spans="1:3">
      <c r="A4" s="2" t="s">
        <v>115</v>
      </c>
      <c r="B4" s="2" t="str">
        <f>IFERROR(ROUND(AVERAGEIFS(问卷数据!AE:AE,问卷数据!$E:$E,$A$1,问卷数据!AE:AE,"&gt;0",问卷数据!AE:AE,"&lt;11"),2),"")</f>
        <v/>
      </c>
      <c r="C4" s="2" t="str">
        <f>IFERROR(ROUND(AVERAGEIFS(问卷数据!AF:AF,问卷数据!$E:$E,$A$1,问卷数据!AF:AF,"&gt;0",问卷数据!AF:AF,"&lt;11"),2),"")</f>
        <v/>
      </c>
    </row>
    <row r="5" spans="1:3">
      <c r="A5" s="2" t="s">
        <v>117</v>
      </c>
      <c r="B5" s="2" t="str">
        <f>IFERROR(ROUND(AVERAGEIFS(问卷数据!AG:AG,问卷数据!$E:$E,$A$1,问卷数据!AG:AG,"&gt;0",问卷数据!AG:AG,"&lt;11"),2),"")</f>
        <v/>
      </c>
      <c r="C5" s="2" t="str">
        <f>IFERROR(ROUND(AVERAGEIFS(问卷数据!AH:AH,问卷数据!$E:$E,$A$1,问卷数据!AH:AH,"&gt;0",问卷数据!AH:AH,"&lt;11"),2),"")</f>
        <v/>
      </c>
    </row>
    <row r="6" spans="1:3">
      <c r="A6" s="2" t="s">
        <v>119</v>
      </c>
      <c r="B6" s="2" t="str">
        <f>IFERROR(ROUND(AVERAGEIFS(问卷数据!AI:AI,问卷数据!$E:$E,$A$1,问卷数据!AI:AI,"&gt;0",问卷数据!AI:AI,"&lt;11"),2),"")</f>
        <v/>
      </c>
      <c r="C6" s="2" t="str">
        <f>IFERROR(ROUND(AVERAGEIFS(问卷数据!AJ:AJ,问卷数据!$E:$E,$A$1,问卷数据!AJ:AJ,"&gt;0",问卷数据!AJ:AJ,"&lt;11"),2),"")</f>
        <v/>
      </c>
    </row>
    <row r="7" spans="1:3">
      <c r="A7" s="2" t="s">
        <v>121</v>
      </c>
      <c r="B7" s="2" t="str">
        <f>IFERROR(ROUND(AVERAGEIFS(问卷数据!$BS:$BS,问卷数据!$E:$E,$A$1,问卷数据!$BS:$BS,"&gt;0",问卷数据!$BS:$BS,"&lt;11"),2),"")</f>
        <v/>
      </c>
      <c r="C7" s="2" t="str">
        <f>IFERROR(ROUND(AVERAGEIFS(问卷数据!$BT:$BT,问卷数据!$E:$E,$A$1,问卷数据!$BT:$BT,"&gt;0",问卷数据!$BT:$BT,"&lt;11"),2),"")</f>
        <v/>
      </c>
    </row>
    <row r="8" spans="1:3">
      <c r="A8" s="2" t="s">
        <v>123</v>
      </c>
      <c r="B8" s="2" t="str">
        <f>IFERROR(ROUND(AVERAGEIFS(问卷数据!BG:BG,问卷数据!$E:$E,$A$1,问卷数据!BG:BG,"&gt;0",问卷数据!BG:BG,"&lt;11"),2),"")</f>
        <v/>
      </c>
      <c r="C8" s="2" t="str">
        <f>IFERROR(ROUND(AVERAGEIFS(问卷数据!BH:BH,问卷数据!$E:$E,$A$1,问卷数据!BH:BH,"&gt;0",问卷数据!BH:BH,"&lt;11"),2),"")</f>
        <v/>
      </c>
    </row>
    <row r="9" spans="1:3">
      <c r="A9" s="4" t="s">
        <v>124</v>
      </c>
      <c r="B9" s="4" t="str">
        <f>IFERROR(ROUND(AVERAGE(B10:B17),2),"")</f>
        <v/>
      </c>
      <c r="C9" s="4" t="str">
        <f>IFERROR(ROUND(AVERAGE(C10:C17),2),"")</f>
        <v/>
      </c>
    </row>
    <row r="10" spans="1:3">
      <c r="A10" s="2" t="s">
        <v>125</v>
      </c>
      <c r="B10" s="2" t="str">
        <f>IFERROR(ROUND(AVERAGEIFS(问卷数据!O:O,问卷数据!$E:$E,$A$1,问卷数据!O:O,"&gt;0",问卷数据!O:O,"&lt;11"),2),"")</f>
        <v/>
      </c>
      <c r="C10" s="2" t="str">
        <f>IFERROR(ROUND(AVERAGEIFS(问卷数据!P:P,问卷数据!$E:$E,$A$1,问卷数据!P:P,"&gt;0",问卷数据!P:P,"&lt;11"),2),"")</f>
        <v/>
      </c>
    </row>
    <row r="11" spans="1:3">
      <c r="A11" s="2" t="s">
        <v>126</v>
      </c>
      <c r="B11" s="2" t="str">
        <f>IFERROR(ROUND(AVERAGEIFS(问卷数据!S:S,问卷数据!$E:$E,$A$1,问卷数据!S:S,"&gt;0",问卷数据!S:S,"&lt;11"),2),"")</f>
        <v/>
      </c>
      <c r="C11" s="2" t="str">
        <f>IFERROR(ROUND(AVERAGEIFS(问卷数据!T:T,问卷数据!$E:$E,$A$1,问卷数据!T:T,"&gt;0",问卷数据!T:T,"&lt;11"),2),"")</f>
        <v/>
      </c>
    </row>
    <row r="12" spans="1:3">
      <c r="A12" s="2" t="s">
        <v>128</v>
      </c>
      <c r="B12" s="2" t="str">
        <f>IFERROR(ROUND(AVERAGEIFS(问卷数据!W:W,问卷数据!$E:$E,$A$1,问卷数据!W:W,"&gt;0",问卷数据!W:W,"&lt;11"),2),"")</f>
        <v/>
      </c>
      <c r="C12" s="2" t="str">
        <f>IFERROR(ROUND(AVERAGEIFS(问卷数据!X:X,问卷数据!$E:$E,$A$1,问卷数据!X:X,"&gt;0",问卷数据!X:X,"&lt;11"),2),"")</f>
        <v/>
      </c>
    </row>
    <row r="13" spans="1:3">
      <c r="A13" s="2" t="s">
        <v>130</v>
      </c>
      <c r="B13" s="2" t="str">
        <f>IFERROR(ROUND(AVERAGEIFS(问卷数据!U:U,问卷数据!$E:$E,$A$1,问卷数据!U:U,"&gt;0",问卷数据!U:U,"&lt;11"),2),"")</f>
        <v/>
      </c>
      <c r="C13" s="2" t="str">
        <f>IFERROR(ROUND(AVERAGEIFS(问卷数据!V:V,问卷数据!$E:$E,$A$1,问卷数据!V:V,"&gt;0",问卷数据!V:V,"&lt;11"),2),"")</f>
        <v/>
      </c>
    </row>
    <row r="14" spans="1:3">
      <c r="A14" s="2" t="s">
        <v>132</v>
      </c>
      <c r="B14" s="2" t="str">
        <f>IFERROR(ROUND(AVERAGEIFS(问卷数据!AA:AA,问卷数据!$E:$E,$A$1,问卷数据!AA:AA,"&gt;0",问卷数据!AA:AA,"&lt;11"),2),"")</f>
        <v/>
      </c>
      <c r="C14" s="2" t="str">
        <f>IFERROR(ROUND(AVERAGEIFS(问卷数据!AB:AB,问卷数据!$E:$E,$A$1,问卷数据!AB:AB,"&gt;0",问卷数据!AB:AB,"&lt;11"),2),"")</f>
        <v/>
      </c>
    </row>
    <row r="15" spans="1:3">
      <c r="A15" s="2" t="s">
        <v>134</v>
      </c>
      <c r="B15" s="2" t="str">
        <f>IFERROR(ROUND(AVERAGEIFS(问卷数据!Q:Q,问卷数据!$E:$E,$A$1,问卷数据!Q:Q,"&gt;0",问卷数据!Q:Q,"&lt;11"),2),"")</f>
        <v/>
      </c>
      <c r="C15" s="2" t="str">
        <f>IFERROR(ROUND(AVERAGEIFS(问卷数据!R:R,问卷数据!$E:$E,$A$1,问卷数据!R:R,"&gt;0",问卷数据!R:R,"&lt;11"),2),"")</f>
        <v/>
      </c>
    </row>
    <row r="16" spans="1:3">
      <c r="A16" s="2" t="s">
        <v>136</v>
      </c>
      <c r="B16" s="2" t="str">
        <f>IFERROR(ROUND(AVERAGEIFS(问卷数据!Y:Y,问卷数据!$E:$E,$A$1,问卷数据!Y:Y,"&gt;0",问卷数据!Y:Y,"&lt;11"),2),"")</f>
        <v/>
      </c>
      <c r="C16" s="2" t="str">
        <f>IFERROR(ROUND(AVERAGEIFS(问卷数据!Z:Z,问卷数据!$E:$E,$A$1,问卷数据!Z:Z,"&gt;0",问卷数据!Z:Z,"&lt;11"),2),"")</f>
        <v/>
      </c>
    </row>
    <row r="17" spans="1:3">
      <c r="A17" s="2" t="s">
        <v>138</v>
      </c>
      <c r="B17" s="2" t="str">
        <f>IFERROR(ROUND(AVERAGEIFS(问卷数据!$AC:$AC,问卷数据!$E:$E,$A$1,问卷数据!$AC:$AC,"&gt;0",问卷数据!$AC:$AC,"&lt;11"),2),"")</f>
        <v/>
      </c>
      <c r="C17" s="2" t="str">
        <f>IFERROR(ROUND(AVERAGEIFS(问卷数据!$AD:$AD,问卷数据!$E:$E,$A$1,问卷数据!$AD:$AD,"&gt;0",问卷数据!$AD:$AD,"&lt;11"),2),"")</f>
        <v/>
      </c>
    </row>
    <row r="18" spans="1:3">
      <c r="A18" s="4" t="s">
        <v>140</v>
      </c>
      <c r="B18" s="4" t="str">
        <f>IFERROR(ROUND(AVERAGE(B19:B22),2),"")</f>
        <v/>
      </c>
      <c r="C18" s="4" t="str">
        <f>IFERROR(ROUND(AVERAGE(C19:C22),2),"")</f>
        <v/>
      </c>
    </row>
    <row r="19" spans="1:3">
      <c r="A19" s="2" t="s">
        <v>142</v>
      </c>
      <c r="B19" s="2" t="str">
        <f>IFERROR(ROUND(AVERAGEIFS(问卷数据!AK:AK,问卷数据!$E:$E,$A$1,问卷数据!AK:AK,"&gt;0",问卷数据!AK:AK,"&lt;11"),2),"")</f>
        <v/>
      </c>
      <c r="C19" s="2" t="str">
        <f>IFERROR(ROUND(AVERAGEIFS(问卷数据!AL:AL,问卷数据!$E:$E,$A$1,问卷数据!AL:AL,"&gt;0",问卷数据!AL:AL,"&lt;11"),2),"")</f>
        <v/>
      </c>
    </row>
    <row r="20" spans="1:3">
      <c r="A20" s="2" t="s">
        <v>144</v>
      </c>
      <c r="B20" s="2" t="str">
        <f>IFERROR(ROUND(AVERAGEIFS(问卷数据!AM:AM,问卷数据!$E:$E,$A$1,问卷数据!AM:AM,"&gt;0",问卷数据!AM:AM,"&lt;11"),2),"")</f>
        <v/>
      </c>
      <c r="C20" s="2" t="str">
        <f>IFERROR(ROUND(AVERAGEIFS(问卷数据!AN:AN,问卷数据!$E:$E,$A$1,问卷数据!AN:AN,"&gt;0",问卷数据!AN:AN,"&lt;11"),2),"")</f>
        <v/>
      </c>
    </row>
    <row r="21" spans="1:3">
      <c r="A21" s="2" t="s">
        <v>145</v>
      </c>
      <c r="B21" s="2" t="str">
        <f>IFERROR(ROUND(AVERAGEIFS(问卷数据!AQ:AQ,问卷数据!$E:$E,$A$1,问卷数据!AQ:AQ,"&gt;0",问卷数据!AQ:AQ,"&lt;11"),2),"")</f>
        <v/>
      </c>
      <c r="C21" s="2" t="str">
        <f>IFERROR(ROUND(AVERAGEIFS(问卷数据!AR:AR,问卷数据!$E:$E,$A$1,问卷数据!AR:AR,"&gt;0",问卷数据!AR:AR,"&lt;11"),2),"")</f>
        <v/>
      </c>
    </row>
    <row r="22" spans="1:3">
      <c r="A22" s="2" t="s">
        <v>146</v>
      </c>
      <c r="B22" s="2" t="str">
        <f>IFERROR(ROUND(AVERAGEIFS(问卷数据!AO:AO,问卷数据!$E:$E,$A$1,问卷数据!AO:AO,"&gt;0",问卷数据!AO:AO,"&lt;11"),2),"")</f>
        <v/>
      </c>
      <c r="C22" s="2" t="str">
        <f>IFERROR(ROUND(AVERAGEIFS(问卷数据!AP:AP,问卷数据!$E:$E,$A$1,问卷数据!AP:AP,"&gt;0",问卷数据!AP:AP,"&lt;11"),2),"")</f>
        <v/>
      </c>
    </row>
    <row r="23" spans="1:3">
      <c r="A23" s="4" t="s">
        <v>147</v>
      </c>
      <c r="B23" s="4" t="str">
        <f>IFERROR(ROUND(AVERAGE(B24:B27),2),"")</f>
        <v/>
      </c>
      <c r="C23" s="4" t="str">
        <f>IFERROR(ROUND(AVERAGE(C24:C27),2),"")</f>
        <v/>
      </c>
    </row>
    <row r="24" spans="1:3">
      <c r="A24" s="2" t="s">
        <v>148</v>
      </c>
      <c r="B24" s="2" t="str">
        <f>IFERROR(ROUND(AVERAGEIFS(问卷数据!BV:BV,问卷数据!$E:$E,$A$1,问卷数据!BV:BV,"&gt;0",问卷数据!BV:BV,"&lt;11"),2),"")</f>
        <v/>
      </c>
      <c r="C24" s="2" t="str">
        <f>IFERROR(ROUND(AVERAGEIFS(问卷数据!BW:BW,问卷数据!$E:$E,$A$1,问卷数据!BW:BW,"&gt;0",问卷数据!BW:BW,"&lt;11"),2),"")</f>
        <v/>
      </c>
    </row>
    <row r="25" spans="1:3">
      <c r="A25" s="2" t="s">
        <v>149</v>
      </c>
      <c r="B25" s="2" t="str">
        <f>IFERROR(ROUND(AVERAGEIFS(问卷数据!BY:BY,问卷数据!$E:$E,$A$1,问卷数据!BY:BY,"&gt;0",问卷数据!BY:BY,"&lt;11"),2),"")</f>
        <v/>
      </c>
      <c r="C25" s="2" t="str">
        <f>IFERROR(ROUND(AVERAGEIFS(问卷数据!BZ:BZ,问卷数据!$E:$E,$A$1,问卷数据!BZ:BZ,"&gt;0",问卷数据!BZ:BZ,"&lt;11"),2),"")</f>
        <v/>
      </c>
    </row>
    <row r="26" spans="1:3">
      <c r="A26" s="2" t="s">
        <v>150</v>
      </c>
      <c r="B26" s="2" t="str">
        <f>IFERROR(ROUND(AVERAGEIFS(问卷数据!CB:CB,问卷数据!$E:$E,$A$1,问卷数据!CB:CB,"&gt;0",问卷数据!CB:CB,"&lt;11"),2),"")</f>
        <v/>
      </c>
      <c r="C26" s="2" t="str">
        <f>IFERROR(ROUND(AVERAGEIFS(问卷数据!CC:CC,问卷数据!$E:$E,$A$1,问卷数据!CC:CC,"&gt;0",问卷数据!CC:CC,"&lt;11"),2),"")</f>
        <v/>
      </c>
    </row>
    <row r="27" spans="1:3">
      <c r="A27" s="2" t="s">
        <v>151</v>
      </c>
      <c r="B27" s="2" t="str">
        <f>IFERROR(ROUND(AVERAGEIFS(问卷数据!CE:CE,问卷数据!$E:$E,$A$1,问卷数据!CE:CE,"&gt;0",问卷数据!CE:CE,"&lt;11"),2),"")</f>
        <v/>
      </c>
      <c r="C27" s="2" t="str">
        <f>IFERROR(ROUND(AVERAGEIFS(问卷数据!CF:CF,问卷数据!$E:$E,$A$1,问卷数据!CF:CF,"&gt;0",问卷数据!CF:CF,"&lt;11"),2),"")</f>
        <v/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问卷数据</vt:lpstr>
      <vt:lpstr>会议主承办</vt:lpstr>
      <vt:lpstr>酒店会议主承办</vt:lpstr>
      <vt:lpstr>酒店参会客户</vt:lpstr>
      <vt:lpstr>参会人员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2025-02-11T08:18:00Z</dcterms:created>
  <dcterms:modified xsi:type="dcterms:W3CDTF">2026-04-08T12:10:00Z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98674BC2DFA94C81BBD1CDAA0CF73EEC_13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