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98037F65-AFF6-E94D-9289-303218FD78C4}" xr6:coauthVersionLast="47" xr6:coauthVersionMax="47" xr10:uidLastSave="{00000000-0000-0000-0000-000000000000}"/>
  <bookViews>
    <workbookView xWindow="0" yWindow="600" windowWidth="25940" windowHeight="19580" activeTab="2" xr2:uid="{00000000-000D-0000-FFFF-FFFF00000000}"/>
  </bookViews>
  <sheets>
    <sheet name="问卷数据" sheetId="1" r:id="rId1"/>
    <sheet name="游客" sheetId="2" r:id="rId2"/>
    <sheet name="旅行社工作人员" sheetId="3" r:id="rId3"/>
  </sheets>
  <definedNames>
    <definedName name="_xlnm._FilterDatabase" localSheetId="0" hidden="1">问卷数据!$A$1:$BW$20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B19" i="3"/>
  <c r="C19" i="2"/>
  <c r="B19" i="2"/>
  <c r="C18" i="3"/>
  <c r="B18" i="3"/>
  <c r="C17" i="3"/>
  <c r="B17" i="3"/>
  <c r="C16" i="3"/>
  <c r="B16" i="3"/>
  <c r="C14" i="3"/>
  <c r="B14" i="3"/>
  <c r="C13" i="3"/>
  <c r="B13" i="3"/>
  <c r="C12" i="3"/>
  <c r="C11" i="3" s="1"/>
  <c r="B12" i="3"/>
  <c r="C10" i="3"/>
  <c r="B10" i="3"/>
  <c r="C9" i="3"/>
  <c r="B9" i="3"/>
  <c r="C8" i="3"/>
  <c r="B8" i="3"/>
  <c r="C7" i="3"/>
  <c r="B7" i="3"/>
  <c r="C6" i="3"/>
  <c r="B6" i="3"/>
  <c r="B3" i="3" s="1"/>
  <c r="C5" i="3"/>
  <c r="B5" i="3"/>
  <c r="C4" i="3"/>
  <c r="B4" i="3"/>
  <c r="C18" i="2"/>
  <c r="B18" i="2"/>
  <c r="C17" i="2"/>
  <c r="B17" i="2"/>
  <c r="C16" i="2"/>
  <c r="B16" i="2"/>
  <c r="C14" i="2"/>
  <c r="B14" i="2"/>
  <c r="C13" i="2"/>
  <c r="B13" i="2"/>
  <c r="C12" i="2"/>
  <c r="B12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11" i="3" l="1"/>
  <c r="B15" i="3"/>
  <c r="C15" i="3"/>
  <c r="C3" i="3"/>
  <c r="C1" i="3"/>
  <c r="B1" i="3"/>
  <c r="B11" i="2"/>
  <c r="C11" i="2"/>
  <c r="C3" i="2"/>
  <c r="B15" i="2"/>
  <c r="B3" i="2"/>
  <c r="C15" i="2"/>
  <c r="B1" i="2" l="1"/>
  <c r="C1" i="2"/>
</calcChain>
</file>

<file path=xl/sharedStrings.xml><?xml version="1.0" encoding="utf-8"?>
<sst xmlns="http://schemas.openxmlformats.org/spreadsheetml/2006/main" count="117" uniqueCount="97">
  <si>
    <t>提交序号</t>
  </si>
  <si>
    <t>状态</t>
  </si>
  <si>
    <t>Q1-旅游客户身份是</t>
  </si>
  <si>
    <t>Q2-第几次带队/游玩</t>
  </si>
  <si>
    <t>Q3-您的性别</t>
  </si>
  <si>
    <t>Q4-您的年龄</t>
  </si>
  <si>
    <t>Q5-客源地</t>
  </si>
  <si>
    <t>Q6-请问您从哪里来本景点旅游？</t>
  </si>
  <si>
    <t xml:space="preserve">Q7-您了解景区的途径是_朋友介绍    </t>
  </si>
  <si>
    <t xml:space="preserve">Q7-您了解景区的途径是_旅行社宣传   </t>
  </si>
  <si>
    <t xml:space="preserve">Q7-您了解景区的途径是_网络（朋友圈、公众号、社交软件等）     </t>
  </si>
  <si>
    <t xml:space="preserve">Q7-您了解景区的途径是_电视报刊杂志等媒体 </t>
  </si>
  <si>
    <t>Q7-您了解景区的途径是_其他（请注明）</t>
  </si>
  <si>
    <t>Q10-请问您对杭州国际博览中心G20峰会体验馆的交通便利性评价？请用1-10分打分。-外部交通便利性，容易到达程度(满意度)</t>
  </si>
  <si>
    <t>Q10-请问您对杭州国际博览中心G20峰会体验馆的交通便利性评价？请用1-10分打分。-外部交通便利性，容易到达程度(重要性)</t>
  </si>
  <si>
    <t>Q10-请问您对杭州国际博览中心G20峰会体验馆的交通便利性评价？请用1-10分打分。-内部交通，停车便利(满意度)</t>
  </si>
  <si>
    <t>Q10-请问您对杭州国际博览中心G20峰会体验馆的交通便利性评价？请用1-10分打分。-内部交通，停车便利(重要性)</t>
  </si>
  <si>
    <t>Q11-请问您对杭州国际博览中心G20峰会体验馆标识标牌清晰评价？请用1-10分打分。-标识标牌清晰(满意度)</t>
  </si>
  <si>
    <t>Q11-请问您对杭州国际博览中心G20峰会体验馆标识标牌清晰评价？请用1-10分打分。-标识标牌清晰(重要性)</t>
  </si>
  <si>
    <t>Q12-请问您对景点各环节服务评价？请用1-10分打分。-售票服务/销售服务（售票速度、售票渠道多样性）(满意度)</t>
  </si>
  <si>
    <t>Q12-请问您对景点各环节服务评价？请用1-10分打分。-售票服务/销售服务（售票速度、售票渠道多样性）(重要性)</t>
  </si>
  <si>
    <t>Q12-请问您对景点各环节服务评价？请用1-10分打分。-景点设施（景点设施吸引力，独特性，景点设施完备及维护）(满意度)</t>
  </si>
  <si>
    <t>Q12-请问您对景点各环节服务评价？请用1-10分打分。-景点设施（景点设施吸引力，独特性，景点设施完备及维护）(重要性)</t>
  </si>
  <si>
    <t>Q12-请问您对景点各环节服务评价？请用1-10分打分。-环境卫生（景点的地面、设施、厕所是否保持清洁整洁；是否设置了足够的垃圾桶等）(满意度)</t>
  </si>
  <si>
    <t>Q12-请问您对景点各环节服务评价？请用1-10分打分。-环境卫生（景点的地面、设施、厕所是否保持清洁整洁；是否设置了足够的垃圾桶等）(重要性)</t>
  </si>
  <si>
    <t>Q12-请问您对景点各环节服务评价？请用1-10分打分。-安全服务（清晰明了的安全提示和规定，景区提供的安全设施和设备等）(满意度)</t>
  </si>
  <si>
    <t>Q12-请问您对景点各环节服务评价？请用1-10分打分。-安全服务（清晰明了的安全提示和规定，景区提供的安全设施和设备等）(重要性)</t>
  </si>
  <si>
    <t>Q13-请问您对景点工作人员评价？请用1-10分打分。-工作人员仪容仪表(满意度)</t>
  </si>
  <si>
    <t>Q13-请问您对景点工作人员评价？请用1-10分打分。-工作人员仪容仪表(重要性)</t>
  </si>
  <si>
    <t>Q13-请问您对景点工作人员评价？请用1-10分打分。-工作人员服务态度(满意度)</t>
  </si>
  <si>
    <t>Q13-请问您对景点工作人员评价？请用1-10分打分。-工作人员服务态度(重要性)</t>
  </si>
  <si>
    <t>Q13-请问您对景点工作人员评价？请用1-10分打分。-讲解人员专业性(满意度)</t>
  </si>
  <si>
    <t>Q13-请问您对景点工作人员评价？请用1-10分打分。-讲解人员专业性(重要性)</t>
  </si>
  <si>
    <t>Q14-您知道杭州国际博览中心语音导览吗？</t>
  </si>
  <si>
    <t>Q15-请问您对语音导览（语音导览的清晰度、音量控制、讲解内容等）评价？请用1-10分打分。-语音导览(满意度)</t>
  </si>
  <si>
    <t>Q15-请问您对语音导览（语音导览的清晰度、音量控制、讲解内容等）评价？请用1-10分打分。-语音导览(重要性)</t>
  </si>
  <si>
    <t>Q16-您知道杭州国际博览中心AR导览评价？请用1-10分打分。</t>
  </si>
  <si>
    <t>Q17-请问您对AR导览（视觉体验、导览内容、实时性、准确性等）评价如何？-AR导览(满意度)</t>
  </si>
  <si>
    <t>Q17-请问您对AR导览（视觉体验、导览内容、实时性、准确性等）评价如何？-AR导览(重要性)</t>
  </si>
  <si>
    <t>Q18-您知道杭州国际博览中心自助售卖吗？请用1-10分打分。</t>
  </si>
  <si>
    <t>Q19-请问您对自助售卖（自助售卖机内商品的种类、价格，方便性）评价？请用1-10分打分。-自助售卖(满意度)</t>
  </si>
  <si>
    <t>Q19-请问您对自助售卖（自助售卖机内商品的种类、价格，方便性）评价？请用1-10分打分。-自助售卖(重要性)</t>
  </si>
  <si>
    <t>Q20-您知道杭州国际博览中心线上商城吗？</t>
  </si>
  <si>
    <t>Q21-请问您对线上商城（界面友好性、搜索功能、下单流程售卖价格、种类及售后服务等）评价？请用1-10分打分。-线上商城(满意度)</t>
  </si>
  <si>
    <t>Q21-请问您对线上商城（界面友好性、搜索功能、下单流程售卖价格、种类及售后服务等）评价？请用1-10分打分。-线上商城(重要性)</t>
  </si>
  <si>
    <t>Q22-请问您对景点价格和品质的总体满意程度如何？【单选】请用1-10分打分（满分10分）。—满意度</t>
  </si>
  <si>
    <t>Q23-请问您对对景点的总体满意程度如何？(G20峰会体验馆/G20杭州峰会史料展示厅)【单选】 请用1-10分打分（满分10分）。—满意度</t>
  </si>
  <si>
    <t>Q24-请问您是否会选择购买旅游纪念品、伴手礼？</t>
  </si>
  <si>
    <t>Q25-请问您更倾向于购买以下哪种类型的旅游纪念品、伴手礼？【多选题】_办公用品（U盘、签字笔等）</t>
  </si>
  <si>
    <t>Q25-请问您更倾向于购买以下哪种类型的旅游纪念品、伴手礼？【多选题】_生活用品（雨伞、马克杯等）</t>
  </si>
  <si>
    <t>Q25-请问您更倾向于购买以下哪种类型的旅游纪念品、伴手礼？【多选题】_装饰品（钥匙扣、冰箱贴等）</t>
  </si>
  <si>
    <t>Q25-请问您更倾向于购买以下哪种类型的旅游纪念品、伴手礼？【多选题】_食品（文创雪糕等）</t>
  </si>
  <si>
    <t>Q25-请问您更倾向于购买以下哪种类型的旅游纪念品、伴手礼？【多选题】_定制景点特色礼盒</t>
  </si>
  <si>
    <t>Q26-请问您预期的伴手礼价格为</t>
  </si>
  <si>
    <t xml:space="preserve">Q27-
请问您游览旅游景点时是否会选择讲解服务？【跳转题型】
</t>
  </si>
  <si>
    <t xml:space="preserve">Q28-
请问您更倾向于以下哪种讲解服务？
</t>
  </si>
  <si>
    <t xml:space="preserve">Q29-
请问您更注重讲解语句中的哪方面内容？
</t>
  </si>
  <si>
    <t>Q30-请问您觉得此景点是否适合商务旅行？</t>
  </si>
  <si>
    <t xml:space="preserve">Q31-
请问您是否会选择重游？？
</t>
  </si>
  <si>
    <t>Q32-您是否会向其他人推荐该景点？【单选】</t>
  </si>
  <si>
    <t xml:space="preserve">Q33-
请问您对本景点有什么评价或建议？【开放题】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</si>
  <si>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</si>
  <si>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</si>
  <si>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</si>
  <si>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</si>
  <si>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</si>
  <si>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</si>
  <si>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</si>
  <si>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</si>
  <si>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</si>
  <si>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</si>
  <si>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</si>
  <si>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</si>
  <si>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</si>
  <si>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</si>
  <si>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游客</t>
  </si>
  <si>
    <t>旅行社工作人员</t>
  </si>
  <si>
    <t>指标</t>
  </si>
  <si>
    <t>满意度</t>
  </si>
  <si>
    <t>重要性</t>
  </si>
  <si>
    <t>旅游服务</t>
  </si>
  <si>
    <t>景点设施</t>
  </si>
  <si>
    <t>环境卫生</t>
  </si>
  <si>
    <t>工作人员仪容仪表</t>
  </si>
  <si>
    <t>工作人员服务态度</t>
  </si>
  <si>
    <t>讲解人员专业性</t>
  </si>
  <si>
    <t>安全服务</t>
  </si>
  <si>
    <t>售票/销售服务</t>
  </si>
  <si>
    <t>硬件设施</t>
  </si>
  <si>
    <t>园区停车方便</t>
  </si>
  <si>
    <t>交通便利，容易到达</t>
  </si>
  <si>
    <t>标识标牌清晰</t>
  </si>
  <si>
    <t>智慧服务</t>
  </si>
  <si>
    <t>语音导览</t>
  </si>
  <si>
    <t>AR导览</t>
  </si>
  <si>
    <t>自助售卖</t>
  </si>
  <si>
    <t>线上商城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</si>
</sst>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rgb="FF333333"/>
      <name val="Lucida Console"/>
      <family val="2"/>
    </font>
    <font>
      <sz val="9.9"/>
      <color rgb="FF33333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0"/>
  <sheetViews>
    <sheetView topLeftCell="P1" workbookViewId="0">
      <selection activeCell="P2" sqref="A2:XFD17"/>
    </sheetView>
  </sheetViews>
  <sheetFormatPr baseColWidth="10" defaultColWidth="9" defaultRowHeight="14"/>
  <cols>
    <col min="1" max="1" width="5.33203125" customWidth="1"/>
    <col min="2" max="2" width="6.5" customWidth="1"/>
    <col min="3" max="3" width="12" customWidth="1"/>
    <col min="4" max="4" width="12.6640625" customWidth="1"/>
    <col min="5" max="6" width="8.6640625" customWidth="1"/>
    <col min="7" max="7" width="7.6640625" customWidth="1"/>
    <col min="8" max="8" width="41.83203125" style="1" customWidth="1"/>
    <col min="9" max="9" width="21.83203125" customWidth="1"/>
    <col min="10" max="10" width="22.33203125" customWidth="1"/>
    <col min="11" max="11" width="36.6640625" customWidth="1"/>
    <col min="12" max="12" width="25.6640625" customWidth="1"/>
    <col min="13" max="13" width="22.83203125" customWidth="1"/>
    <col min="14" max="15" width="69.33203125" customWidth="1"/>
    <col min="16" max="17" width="63.83203125" customWidth="1"/>
    <col min="18" max="19" width="60.6640625" customWidth="1"/>
    <col min="20" max="21" width="61.83203125" customWidth="1"/>
    <col min="22" max="23" width="66.6640625" customWidth="1"/>
    <col min="24" max="25" width="78.83203125" customWidth="1"/>
    <col min="26" max="27" width="72.1640625" customWidth="1"/>
    <col min="28" max="31" width="44.6640625" customWidth="1"/>
    <col min="32" max="33" width="43.6640625" customWidth="1"/>
    <col min="34" max="34" width="24.1640625" customWidth="1"/>
    <col min="35" max="36" width="61.1640625" customWidth="1"/>
    <col min="37" max="37" width="36.33203125" customWidth="1"/>
    <col min="38" max="39" width="52.1640625" customWidth="1"/>
    <col min="40" max="40" width="34.83203125" customWidth="1"/>
    <col min="41" max="42" width="60.1640625" customWidth="1"/>
    <col min="43" max="43" width="24.1640625" customWidth="1"/>
    <col min="44" max="45" width="71.1640625" customWidth="1"/>
    <col min="46" max="46" width="56.6640625" customWidth="1"/>
    <col min="47" max="47" width="77.83203125" customWidth="1"/>
    <col min="48" max="48" width="27.5" customWidth="1"/>
    <col min="49" max="49" width="55" customWidth="1"/>
    <col min="50" max="51" width="54.83203125" customWidth="1"/>
    <col min="52" max="52" width="50.33203125" customWidth="1"/>
    <col min="53" max="53" width="49.33203125" customWidth="1"/>
    <col min="54" max="54" width="18.6640625" customWidth="1"/>
    <col min="55" max="55" width="29.6640625" customWidth="1"/>
    <col min="56" max="56" width="18.6640625" customWidth="1"/>
    <col min="57" max="57" width="20.83203125" customWidth="1"/>
    <col min="58" max="58" width="24.1640625" customWidth="1"/>
    <col min="59" max="59" width="14.1640625" customWidth="1"/>
    <col min="60" max="60" width="25.33203125" customWidth="1"/>
    <col min="61" max="61" width="30.6640625" customWidth="1"/>
    <col min="62" max="62" width="5.33203125" customWidth="1"/>
    <col min="63" max="63" width="5.1640625" customWidth="1"/>
    <col min="64" max="64" width="5.33203125" customWidth="1"/>
    <col min="65" max="66" width="20.5" customWidth="1"/>
    <col min="67" max="67" width="100.5" customWidth="1"/>
    <col min="68" max="68" width="9.1640625" customWidth="1"/>
    <col min="69" max="69" width="20.5" customWidth="1"/>
    <col min="70" max="70" width="9.33203125" customWidth="1"/>
    <col min="71" max="71" width="10.33203125" customWidth="1"/>
    <col min="72" max="72" width="14.5" customWidth="1"/>
    <col min="73" max="73" width="7.6640625" customWidth="1"/>
    <col min="74" max="74" width="51.6640625" customWidth="1"/>
    <col min="75" max="75" width="7.6640625" customWidth="1"/>
  </cols>
  <sheetData>
    <row r="1" spans="1: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spans="1:75" s="4" customForma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</row>
    <row r="3" spans="1:75" s="4" customForma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</row>
    <row r="4" spans="1:75" s="4" customForma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</row>
    <row r="5" spans="1:75" s="4" customForma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</row>
    <row r="6" spans="1:75" s="4" customForma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</row>
    <row r="7" spans="1:75" s="4" customForma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</row>
    <row r="8" spans="1:75" s="4" customForma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</row>
    <row r="9" spans="1:75" s="4" customForma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</row>
    <row r="10" spans="1:75" s="4" customForma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</row>
    <row r="11" spans="1:75" s="4" customForma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</row>
    <row r="12" spans="1:75" s="4" customForma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 s="4" customForma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</row>
    <row r="14" spans="1:75" s="4" customForma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  <row r="15" spans="1:75" s="4" customForma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</row>
    <row r="16" spans="1:75" s="4" customForma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s="4" customForma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s="4" customForma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1:75" s="4" customForma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s="4" customForma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9"/>
  <sheetViews>
    <sheetView zoomScale="125" zoomScaleNormal="69" workbookViewId="0">
      <selection activeCell="C22" sqref="C22"/>
    </sheetView>
  </sheetViews>
  <sheetFormatPr baseColWidth="10" defaultColWidth="8.83203125" defaultRowHeight="14"/>
  <cols>
    <col min="1" max="1" width="20.83203125" style="1" customWidth="1"/>
    <col min="2" max="3" width="9.6640625" style="1"/>
  </cols>
  <sheetData>
    <row r="1" spans="1:3">
      <c r="A1" s="2" t="s">
        <v>75</v>
      </c>
      <c r="B1" s="2" t="str">
        <f>IFERROR(ROUND(AVERAGE(B3,B11,B15),2),"")</f>
        <v/>
      </c>
      <c r="C1" s="2" t="str">
        <f>IFERROR(ROUND(AVERAGE(C3,C11,C15),2),"")</f>
        <v/>
      </c>
    </row>
    <row r="2" spans="1:3">
      <c r="A2" s="1" t="s">
        <v>77</v>
      </c>
      <c r="B2" s="1" t="s">
        <v>78</v>
      </c>
      <c r="C2" s="1" t="s">
        <v>79</v>
      </c>
    </row>
    <row r="3" spans="1:3">
      <c r="A3" s="3" t="s">
        <v>80</v>
      </c>
      <c r="B3" s="3" t="str">
        <f>IFERROR(ROUND(AVERAGE(B4:B10),2),"")</f>
        <v/>
      </c>
      <c r="C3" s="3" t="str">
        <f>IFERROR(ROUND(AVERAGE(C4:C10),2),"")</f>
        <v/>
      </c>
    </row>
    <row r="4" spans="1:3">
      <c r="A4" s="1" t="s">
        <v>81</v>
      </c>
      <c r="B4" s="1" t="str">
        <f>IFERROR(ROUND(AVERAGEIFS(问卷数据!$V:$V,问卷数据!$C:$C,$A$1,问卷数据!$V:$V,"&gt;0",问卷数据!$V:$V,"&lt;11"),2),"")</f>
        <v/>
      </c>
      <c r="C4" s="1" t="str">
        <f>IFERROR(ROUND(AVERAGEIFS(问卷数据!$W:$W,问卷数据!$C:$C,$A$1,问卷数据!$W:$W,"&gt;0",问卷数据!$W:$W,"&lt;11"),2),"")</f>
        <v/>
      </c>
    </row>
    <row r="5" spans="1:3">
      <c r="A5" s="1" t="s">
        <v>82</v>
      </c>
      <c r="B5" s="1" t="str">
        <f>IFERROR(ROUND(AVERAGEIFS(问卷数据!$X:$X,问卷数据!$C:$C,$A$1,问卷数据!$X:$X,"&gt;0",问卷数据!$X:$X,"&lt;11"),2),"")</f>
        <v/>
      </c>
      <c r="C5" s="1" t="str">
        <f>IFERROR(ROUND(AVERAGEIFS(问卷数据!$Y:$Y,问卷数据!$C:$C,$A$1,问卷数据!$Y:$Y,"&gt;0",问卷数据!$Y:$Y,"&lt;11"),2),"")</f>
        <v/>
      </c>
    </row>
    <row r="6" spans="1:3">
      <c r="A6" s="1" t="s">
        <v>83</v>
      </c>
      <c r="B6" s="1" t="str">
        <f>IFERROR(ROUND(AVERAGEIFS(问卷数据!$AB:$AB,问卷数据!$C:$C,$A$1,问卷数据!$AB:$AB,"&gt;0",问卷数据!$AB:$AB,"&lt;11"),2),"")</f>
        <v/>
      </c>
      <c r="C6" s="1" t="str">
        <f>IFERROR(ROUND(AVERAGEIFS(问卷数据!$AC:$AC,问卷数据!$C:$C,$A$1,问卷数据!$AC:$AC,"&gt;0",问卷数据!$AC:$AC,"&lt;11"),2),"")</f>
        <v/>
      </c>
    </row>
    <row r="7" spans="1:3">
      <c r="A7" s="1" t="s">
        <v>84</v>
      </c>
      <c r="B7" s="1" t="str">
        <f>IFERROR(ROUND(AVERAGEIFS(问卷数据!$AD:$AD,问卷数据!$C:$C,$A$1,问卷数据!$AD:$AD,"&gt;0",问卷数据!$AD:$AD,"&lt;11"),2),"")</f>
        <v/>
      </c>
      <c r="C7" s="1" t="str">
        <f>IFERROR(ROUND(AVERAGEIFS(问卷数据!$AE:$AE,问卷数据!$C:$C,$A$1,问卷数据!$AE:$AE,"&gt;0",问卷数据!$AE:$AE,"&lt;11"),2),"")</f>
        <v/>
      </c>
    </row>
    <row r="8" spans="1:3">
      <c r="A8" s="1" t="s">
        <v>85</v>
      </c>
      <c r="B8" s="1" t="str">
        <f>IFERROR(ROUND(AVERAGEIFS(问卷数据!$AF:$AF,问卷数据!$C:$C,$A$1,问卷数据!$AF:$AF,"&gt;0",问卷数据!$AF:$AF,"&lt;11"),2),"")</f>
        <v/>
      </c>
      <c r="C8" s="1" t="str">
        <f>IFERROR(ROUND(AVERAGEIFS(问卷数据!$AG:$AG,问卷数据!$C:$C,$A$1,问卷数据!$AG:$AG,"&gt;0",问卷数据!$AG:$AG,"&lt;11"),2),"")</f>
        <v/>
      </c>
    </row>
    <row r="9" spans="1:3">
      <c r="A9" s="1" t="s">
        <v>86</v>
      </c>
      <c r="B9" s="1" t="str">
        <f>IFERROR(ROUND(AVERAGEIFS(问卷数据!$Z:$Z,问卷数据!$C:$C,$A$1,问卷数据!$Z:$Z,"&gt;0",问卷数据!$Z:$Z,"&lt;11"),2),"")</f>
        <v/>
      </c>
      <c r="C9" s="1" t="str">
        <f>IFERROR(ROUND(AVERAGEIFS(问卷数据!$AA:$AA,问卷数据!$C:$C,$A$1,问卷数据!$AA:$AA,"&gt;0",问卷数据!$AA:$AA,"&lt;11"),2),"")</f>
        <v/>
      </c>
    </row>
    <row r="10" spans="1:3">
      <c r="A10" s="1" t="s">
        <v>87</v>
      </c>
      <c r="B10" s="1" t="str">
        <f>IFERROR(ROUND(AVERAGEIFS(问卷数据!$T:$T,问卷数据!$C:$C,$A$1,问卷数据!$T:$T,"&gt;0",问卷数据!$T:$T,"&lt;11"),2),"")</f>
        <v/>
      </c>
      <c r="C10" s="1" t="str">
        <f>IFERROR(ROUND(AVERAGEIFS(问卷数据!$U:$U,问卷数据!$C:$C,$A$1,问卷数据!$U:$U,"&gt;0",问卷数据!$U:$U,"&lt;11"),2),"")</f>
        <v/>
      </c>
    </row>
    <row r="11" spans="1:3">
      <c r="A11" s="3" t="s">
        <v>88</v>
      </c>
      <c r="B11" s="3" t="str">
        <f>IFERROR(ROUND(AVERAGE(B12:B14),2),"")</f>
        <v/>
      </c>
      <c r="C11" s="3" t="str">
        <f>IFERROR(ROUND(AVERAGE(C12:C14),2),"")</f>
        <v/>
      </c>
    </row>
    <row r="12" spans="1:3">
      <c r="A12" s="1" t="s">
        <v>89</v>
      </c>
      <c r="B12" s="1" t="str">
        <f>IFERROR(ROUND(AVERAGEIFS(问卷数据!$P:$P,问卷数据!$C:$C,$A$1,问卷数据!$P:$P,"&gt;0",问卷数据!$P:$P,"&lt;11"),2),"")</f>
        <v/>
      </c>
      <c r="C12" s="1" t="str">
        <f>IFERROR(ROUND(AVERAGEIFS(问卷数据!$Q:$Q,问卷数据!$C:$C,$A$1,问卷数据!$Q:$Q,"&gt;0",问卷数据!$Q:$Q,"&lt;11"),2),"")</f>
        <v/>
      </c>
    </row>
    <row r="13" spans="1:3">
      <c r="A13" s="1" t="s">
        <v>90</v>
      </c>
      <c r="B13" s="1" t="str">
        <f>IFERROR(ROUND(AVERAGEIFS(问卷数据!$N:$N,问卷数据!$C:$C,$A$1,问卷数据!$N:$N,"&gt;0",问卷数据!$N:$N,"&lt;11"),2),"")</f>
        <v/>
      </c>
      <c r="C13" s="1" t="str">
        <f>IFERROR(ROUND(AVERAGEIFS(问卷数据!$O:$O,问卷数据!$C:$C,$A$1,问卷数据!$O:$O,"&gt;0",问卷数据!$O:$O,"&lt;11"),2),"")</f>
        <v/>
      </c>
    </row>
    <row r="14" spans="1:3">
      <c r="A14" s="1" t="s">
        <v>91</v>
      </c>
      <c r="B14" s="1" t="str">
        <f>IFERROR(ROUND(AVERAGEIFS(问卷数据!$R:$R,问卷数据!$C:$C,$A$1,问卷数据!$R:$R,"&gt;0",问卷数据!$R:$R,"&lt;11"),2),"")</f>
        <v/>
      </c>
      <c r="C14" s="1" t="str">
        <f>IFERROR(ROUND(AVERAGEIFS(问卷数据!$S:$S,问卷数据!$C:$C,$A$1,问卷数据!$S:$S,"&gt;0",问卷数据!$S:$S,"&lt;11"),2),"")</f>
        <v/>
      </c>
    </row>
    <row r="15" spans="1:3">
      <c r="A15" s="3" t="s">
        <v>92</v>
      </c>
      <c r="B15" s="3" t="str">
        <f>IFERROR(ROUND(AVERAGE(B16:B19),2),"")</f>
        <v/>
      </c>
      <c r="C15" s="3" t="str">
        <f>IFERROR(ROUND(AVERAGE(C16:C19),2),"")</f>
        <v/>
      </c>
    </row>
    <row r="16" spans="1:3">
      <c r="A16" s="1" t="s">
        <v>93</v>
      </c>
      <c r="B16" s="1" t="str">
        <f>IFERROR(ROUND(AVERAGEIFS(问卷数据!$AI:$AI,问卷数据!$C:$C,$A$1,问卷数据!$AI:$AI,"&gt;0",问卷数据!$AI:$AI,"&lt;11"),2),"")</f>
        <v/>
      </c>
      <c r="C16" s="1" t="str">
        <f>IFERROR(ROUND(AVERAGEIFS(问卷数据!$AJ:$AJ,问卷数据!$C:$C,$A$1,问卷数据!$AJ:$AJ,"&gt;0",问卷数据!$AJ:$AJ,"&lt;11"),2),"")</f>
        <v/>
      </c>
    </row>
    <row r="17" spans="1:3">
      <c r="A17" s="1" t="s">
        <v>94</v>
      </c>
      <c r="B17" s="1" t="str">
        <f>IFERROR(ROUND(AVERAGEIFS(问卷数据!$AL:$AL,问卷数据!$C:$C,$A$1,问卷数据!$AL:$AL,"&gt;0",问卷数据!$AL:$AL,"&lt;11"),2),"")</f>
        <v/>
      </c>
      <c r="C17" s="1" t="str">
        <f>IFERROR(ROUND(AVERAGEIFS(问卷数据!$AM:$AM,问卷数据!$C:$C,$A$1,问卷数据!$AM:$AM,"&gt;0",问卷数据!$AM:$AM,"&lt;11"),2),"")</f>
        <v/>
      </c>
    </row>
    <row r="18" spans="1:3">
      <c r="A18" s="1" t="s">
        <v>95</v>
      </c>
      <c r="B18" s="1" t="str">
        <f>IFERROR(ROUND(AVERAGEIFS(问卷数据!$AO:$AO,问卷数据!$C:$C,$A$1,问卷数据!$AO:$AO,"&gt;0",问卷数据!$AO:$AO,"&lt;11"),2),"")</f>
        <v/>
      </c>
      <c r="C18" s="1" t="str">
        <f>IFERROR(ROUND(AVERAGEIFS(问卷数据!$AP:$AP,问卷数据!$C:$C,$A$1,问卷数据!$AP:$AP,"&gt;0",问卷数据!$AP:$AP,"&lt;11"),2),"")</f>
        <v/>
      </c>
    </row>
    <row r="19" spans="1:3" ht="18">
      <c r="A19" s="1" t="s">
        <v>96</v>
      </c>
      <c r="B19" s="7" t="str">
        <f>IFERROR(ROUND(AVERAGEIFS(问卷数据!$AR:$AR,问卷数据!$C:$C,$A$1,问卷数据!$AR:$AR,"&gt;0",问卷数据!$AR:$AR,"&lt;11"),2),"")</f>
        <v/>
      </c>
      <c r="C19" s="7" t="str">
        <f>IFERROR(ROUND(AVERAGEIFS(问卷数据!$AS:$AS,问卷数据!$C:$C,$A$1,问卷数据!$AS:$AS,"&gt;0",问卷数据!$AS:$AS,"&lt;11"),2),"")</f>
        <v/>
      </c>
    </row>
  </sheetData>
  <phoneticPr fontId="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B862-0E70-EB45-8CE4-2AB123DC735D}">
  <dimension ref="A1:C19"/>
  <sheetViews>
    <sheetView tabSelected="1" zoomScale="125" zoomScaleNormal="69" workbookViewId="0">
      <selection activeCell="C19" sqref="C19"/>
    </sheetView>
  </sheetViews>
  <sheetFormatPr baseColWidth="10" defaultColWidth="8.83203125" defaultRowHeight="14"/>
  <cols>
    <col min="1" max="1" width="20.83203125" style="1" customWidth="1"/>
    <col min="2" max="3" width="8.83203125" style="1"/>
  </cols>
  <sheetData>
    <row r="1" spans="1:3">
      <c r="A1" s="2" t="s">
        <v>76</v>
      </c>
      <c r="B1" s="2" t="str">
        <f>IFERROR(ROUND(AVERAGE(B3,B11,B15),2),"")</f>
        <v/>
      </c>
      <c r="C1" s="2" t="str">
        <f>IFERROR(ROUND(AVERAGE(C3,C11,C15),2),"")</f>
        <v/>
      </c>
    </row>
    <row r="2" spans="1:3">
      <c r="A2" s="1" t="s">
        <v>77</v>
      </c>
      <c r="B2" s="1" t="s">
        <v>78</v>
      </c>
      <c r="C2" s="1" t="s">
        <v>79</v>
      </c>
    </row>
    <row r="3" spans="1:3">
      <c r="A3" s="3" t="s">
        <v>80</v>
      </c>
      <c r="B3" s="3" t="str">
        <f>IFERROR(ROUND(AVERAGE(B4:B10),2),"")</f>
        <v/>
      </c>
      <c r="C3" s="3" t="str">
        <f>IFERROR(ROUND(AVERAGE(C4:C10),2),"")</f>
        <v/>
      </c>
    </row>
    <row r="4" spans="1:3">
      <c r="A4" s="1" t="s">
        <v>81</v>
      </c>
      <c r="B4" s="1" t="str">
        <f>IFERROR(ROUND(AVERAGEIFS(问卷数据!$V:$V,问卷数据!$C:$C,$A$1,问卷数据!$V:$V,"&gt;0",问卷数据!$V:$V,"&lt;11"),2),"")</f>
        <v/>
      </c>
      <c r="C4" s="1" t="str">
        <f>IFERROR(ROUND(AVERAGEIFS(问卷数据!$W:$W,问卷数据!$C:$C,$A$1,问卷数据!$W:$W,"&gt;0",问卷数据!$W:$W,"&lt;11"),2),"")</f>
        <v/>
      </c>
    </row>
    <row r="5" spans="1:3">
      <c r="A5" s="1" t="s">
        <v>82</v>
      </c>
      <c r="B5" s="1" t="str">
        <f>IFERROR(ROUND(AVERAGEIFS(问卷数据!$X:$X,问卷数据!$C:$C,$A$1,问卷数据!$X:$X,"&gt;0",问卷数据!$X:$X,"&lt;11"),2),"")</f>
        <v/>
      </c>
      <c r="C5" s="1" t="str">
        <f>IFERROR(ROUND(AVERAGEIFS(问卷数据!$Y:$Y,问卷数据!$C:$C,$A$1,问卷数据!$Y:$Y,"&gt;0",问卷数据!$Y:$Y,"&lt;11"),2),"")</f>
        <v/>
      </c>
    </row>
    <row r="6" spans="1:3">
      <c r="A6" s="1" t="s">
        <v>83</v>
      </c>
      <c r="B6" s="1" t="str">
        <f>IFERROR(ROUND(AVERAGEIFS(问卷数据!$AB:$AB,问卷数据!$C:$C,$A$1,问卷数据!$AB:$AB,"&gt;0",问卷数据!$AB:$AB,"&lt;11"),2),"")</f>
        <v/>
      </c>
      <c r="C6" s="1" t="str">
        <f>IFERROR(ROUND(AVERAGEIFS(问卷数据!$AC:$AC,问卷数据!$C:$C,$A$1,问卷数据!$AC:$AC,"&gt;0",问卷数据!$AC:$AC,"&lt;11"),2),"")</f>
        <v/>
      </c>
    </row>
    <row r="7" spans="1:3">
      <c r="A7" s="1" t="s">
        <v>84</v>
      </c>
      <c r="B7" s="1" t="str">
        <f>IFERROR(ROUND(AVERAGEIFS(问卷数据!$AD:$AD,问卷数据!$C:$C,$A$1,问卷数据!$AD:$AD,"&gt;0",问卷数据!$AD:$AD,"&lt;11"),2),"")</f>
        <v/>
      </c>
      <c r="C7" s="1" t="str">
        <f>IFERROR(ROUND(AVERAGEIFS(问卷数据!$AE:$AE,问卷数据!$C:$C,$A$1,问卷数据!$AE:$AE,"&gt;0",问卷数据!$AE:$AE,"&lt;11"),2),"")</f>
        <v/>
      </c>
    </row>
    <row r="8" spans="1:3">
      <c r="A8" s="1" t="s">
        <v>85</v>
      </c>
      <c r="B8" s="1" t="str">
        <f>IFERROR(ROUND(AVERAGEIFS(问卷数据!$AF:$AF,问卷数据!$C:$C,$A$1,问卷数据!$AF:$AF,"&gt;0",问卷数据!$AF:$AF,"&lt;11"),2),"")</f>
        <v/>
      </c>
      <c r="C8" s="1" t="str">
        <f>IFERROR(ROUND(AVERAGEIFS(问卷数据!$AG:$AG,问卷数据!$C:$C,$A$1,问卷数据!$AG:$AG,"&gt;0",问卷数据!$AG:$AG,"&lt;11"),2),"")</f>
        <v/>
      </c>
    </row>
    <row r="9" spans="1:3">
      <c r="A9" s="1" t="s">
        <v>86</v>
      </c>
      <c r="B9" s="1" t="str">
        <f>IFERROR(ROUND(AVERAGEIFS(问卷数据!$Z:$Z,问卷数据!$C:$C,$A$1,问卷数据!$Z:$Z,"&gt;0",问卷数据!$Z:$Z,"&lt;11"),2),"")</f>
        <v/>
      </c>
      <c r="C9" s="1" t="str">
        <f>IFERROR(ROUND(AVERAGEIFS(问卷数据!$AA:$AA,问卷数据!$C:$C,$A$1,问卷数据!$AA:$AA,"&gt;0",问卷数据!$AA:$AA,"&lt;11"),2),"")</f>
        <v/>
      </c>
    </row>
    <row r="10" spans="1:3">
      <c r="A10" s="1" t="s">
        <v>87</v>
      </c>
      <c r="B10" s="1" t="str">
        <f>IFERROR(ROUND(AVERAGEIFS(问卷数据!$T:$T,问卷数据!$C:$C,$A$1,问卷数据!$T:$T,"&gt;0",问卷数据!$T:$T,"&lt;11"),2),"")</f>
        <v/>
      </c>
      <c r="C10" s="1" t="str">
        <f>IFERROR(ROUND(AVERAGEIFS(问卷数据!$U:$U,问卷数据!$C:$C,$A$1,问卷数据!$U:$U,"&gt;0",问卷数据!$U:$U,"&lt;11"),2),"")</f>
        <v/>
      </c>
    </row>
    <row r="11" spans="1:3">
      <c r="A11" s="3" t="s">
        <v>88</v>
      </c>
      <c r="B11" s="3" t="str">
        <f>IFERROR(ROUND(AVERAGE(B12:B14),2),"")</f>
        <v/>
      </c>
      <c r="C11" s="3" t="str">
        <f>IFERROR(ROUND(AVERAGE(C12:C14),2),"")</f>
        <v/>
      </c>
    </row>
    <row r="12" spans="1:3">
      <c r="A12" s="1" t="s">
        <v>89</v>
      </c>
      <c r="B12" s="1" t="str">
        <f>IFERROR(ROUND(AVERAGEIFS(问卷数据!$P:$P,问卷数据!$C:$C,$A$1,问卷数据!$P:$P,"&gt;0",问卷数据!$P:$P,"&lt;11"),2),"")</f>
        <v/>
      </c>
      <c r="C12" s="1" t="str">
        <f>IFERROR(ROUND(AVERAGEIFS(问卷数据!$Q:$Q,问卷数据!$C:$C,$A$1,问卷数据!$Q:$Q,"&gt;0",问卷数据!$Q:$Q,"&lt;11"),2),"")</f>
        <v/>
      </c>
    </row>
    <row r="13" spans="1:3">
      <c r="A13" s="1" t="s">
        <v>90</v>
      </c>
      <c r="B13" s="1" t="str">
        <f>IFERROR(ROUND(AVERAGEIFS(问卷数据!$N:$N,问卷数据!$C:$C,$A$1,问卷数据!$N:$N,"&gt;0",问卷数据!$N:$N,"&lt;11"),2),"")</f>
        <v/>
      </c>
      <c r="C13" s="1" t="str">
        <f>IFERROR(ROUND(AVERAGEIFS(问卷数据!$O:$O,问卷数据!$C:$C,$A$1,问卷数据!$O:$O,"&gt;0",问卷数据!$O:$O,"&lt;11"),2),"")</f>
        <v/>
      </c>
    </row>
    <row r="14" spans="1:3">
      <c r="A14" s="1" t="s">
        <v>91</v>
      </c>
      <c r="B14" s="1" t="str">
        <f>IFERROR(ROUND(AVERAGEIFS(问卷数据!$R:$R,问卷数据!$C:$C,$A$1,问卷数据!$R:$R,"&gt;0",问卷数据!$R:$R,"&lt;11"),2),"")</f>
        <v/>
      </c>
      <c r="C14" s="1" t="str">
        <f>IFERROR(ROUND(AVERAGEIFS(问卷数据!$S:$S,问卷数据!$C:$C,$A$1,问卷数据!$S:$S,"&gt;0",问卷数据!$S:$S,"&lt;11"),2),"")</f>
        <v/>
      </c>
    </row>
    <row r="15" spans="1:3">
      <c r="A15" s="3" t="s">
        <v>92</v>
      </c>
      <c r="B15" s="3" t="str">
        <f>IFERROR(ROUND(AVERAGE(B16:B19),2),"")</f>
        <v/>
      </c>
      <c r="C15" s="3" t="str">
        <f>IFERROR(ROUND(AVERAGE(C16:C19),2),"")</f>
        <v/>
      </c>
    </row>
    <row r="16" spans="1:3">
      <c r="A16" s="1" t="s">
        <v>93</v>
      </c>
      <c r="B16" s="1" t="str">
        <f>IFERROR(ROUND(AVERAGEIFS(问卷数据!$AI:$AI,问卷数据!$C:$C,$A$1,问卷数据!$AI:$AI,"&gt;0",问卷数据!$AI:$AI,"&lt;11"),2),"")</f>
        <v/>
      </c>
      <c r="C16" s="1" t="str">
        <f>IFERROR(ROUND(AVERAGEIFS(问卷数据!$AJ:$AJ,问卷数据!$C:$C,$A$1,问卷数据!$AJ:$AJ,"&gt;0",问卷数据!$AJ:$AJ,"&lt;11"),2),"")</f>
        <v/>
      </c>
    </row>
    <row r="17" spans="1:3">
      <c r="A17" s="1" t="s">
        <v>94</v>
      </c>
      <c r="B17" s="1" t="str">
        <f>IFERROR(ROUND(AVERAGEIFS(问卷数据!$AL:$AL,问卷数据!$C:$C,$A$1,问卷数据!$AL:$AL,"&gt;0",问卷数据!$AL:$AL,"&lt;11"),2),"")</f>
        <v/>
      </c>
      <c r="C17" s="1" t="str">
        <f>IFERROR(ROUND(AVERAGEIFS(问卷数据!$AM:$AM,问卷数据!$C:$C,$A$1,问卷数据!$AM:$AM,"&gt;0",问卷数据!$AM:$AM,"&lt;11"),2),"")</f>
        <v/>
      </c>
    </row>
    <row r="18" spans="1:3">
      <c r="A18" s="1" t="s">
        <v>95</v>
      </c>
      <c r="B18" s="1" t="str">
        <f>IFERROR(ROUND(AVERAGEIFS(问卷数据!$AO:$AO,问卷数据!$C:$C,$A$1,问卷数据!$AO:$AO,"&gt;0",问卷数据!$AO:$AO,"&lt;11"),2),"")</f>
        <v/>
      </c>
      <c r="C18" s="1" t="str">
        <f>IFERROR(ROUND(AVERAGEIFS(问卷数据!$AP:$AP,问卷数据!$C:$C,$A$1,问卷数据!$AP:$AP,"&gt;0",问卷数据!$AP:$AP,"&lt;11"),2),"")</f>
        <v/>
      </c>
    </row>
    <row r="19" spans="1:3" ht="18">
      <c r="A19" s="1" t="s">
        <v>96</v>
      </c>
      <c r="B19" s="8" t="str">
        <f>IFERROR(ROUND(AVERAGEIFS(问卷数据!$AR:$AR,问卷数据!$C:$C,$A$1,问卷数据!$AR:$AR,"&gt;0",问卷数据!$AR:$AR,"&lt;11"),2),"")</f>
        <v/>
      </c>
      <c r="C19" s="7" t="str">
        <f>IFERROR(ROUND(AVERAGEIFS(问卷数据!$AS:$AS,问卷数据!$C:$C,$A$1,问卷数据!$AS:$AS,"&gt;0",问卷数据!$AS:$AS,"&lt;11"),2),"")</f>
        <v/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问卷数据</vt:lpstr>
      <vt:lpstr>游客</vt:lpstr>
      <vt:lpstr>旅行社工作人员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2025-02-26T05:54:00Z</dcterms:created>
  <dcterms:modified xsi:type="dcterms:W3CDTF">2026-04-08T12:51:21Z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504DFC2634454CEDB97CF9DE67787610_13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