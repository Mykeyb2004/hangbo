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26"/>
  <workbookPr codeName="ThisWorkbook"/>
  <mc:AlternateContent xmlns:mc="http://schemas.openxmlformats.org/markup-compatibility/2006">
    <mc:Choice Requires="x15">
      <x15ac:absPath xmlns:x15ac="http://schemas.microsoft.com/office/spreadsheetml/2010/11/ac" url="/Users/zhangqijin/PycharmProjects/hangbo/月报模版V1.0（数据+雷达图）/"/>
    </mc:Choice>
  </mc:AlternateContent>
  <xr:revisionPtr revIDLastSave="0" documentId="13_ncr:1_{84FD55F8-AFB9-554D-A06B-65D65A6CD902}" xr6:coauthVersionLast="47" xr6:coauthVersionMax="47" xr10:uidLastSave="{00000000-0000-0000-0000-000000000000}"/>
  <bookViews>
    <workbookView xWindow="-30020" yWindow="1020" windowWidth="27660" windowHeight="21280" activeTab="2" xr2:uid="{00000000-000D-0000-FFFF-FFFF00000000}"/>
  </bookViews>
  <sheets>
    <sheet name="问卷数据" sheetId="1" r:id="rId1"/>
    <sheet name="散客" sheetId="2" r:id="rId2"/>
    <sheet name="住宿团队" sheetId="3" r:id="rId3"/>
  </sheets>
  <definedNames>
    <definedName name="_xlnm._FilterDatabase" localSheetId="0" hidden="1">问卷数据!$A$1:$BX$1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3" l="1"/>
  <c r="C9" i="3"/>
  <c r="C29" i="3"/>
  <c r="B29" i="3"/>
  <c r="C28" i="3"/>
  <c r="B28" i="3"/>
  <c r="C27" i="3"/>
  <c r="B27" i="3"/>
  <c r="C26" i="3"/>
  <c r="B26" i="3"/>
  <c r="C24" i="3"/>
  <c r="B24" i="3"/>
  <c r="C23" i="3"/>
  <c r="B23" i="3"/>
  <c r="C22" i="3"/>
  <c r="B22" i="3"/>
  <c r="C21" i="3"/>
  <c r="B21" i="3"/>
  <c r="C19" i="3"/>
  <c r="B19" i="3"/>
  <c r="C18" i="3"/>
  <c r="B18" i="3"/>
  <c r="C17" i="3"/>
  <c r="B17" i="3"/>
  <c r="C16" i="3"/>
  <c r="B16" i="3"/>
  <c r="C15" i="3"/>
  <c r="B15" i="3"/>
  <c r="B14" i="3"/>
  <c r="C13" i="3"/>
  <c r="B13" i="3"/>
  <c r="C11" i="3"/>
  <c r="B11" i="3"/>
  <c r="C10" i="3"/>
  <c r="B10" i="3"/>
  <c r="B9" i="3"/>
  <c r="C8" i="3"/>
  <c r="B8" i="3"/>
  <c r="C7" i="3"/>
  <c r="B7" i="3"/>
  <c r="C6" i="3"/>
  <c r="B6" i="3"/>
  <c r="C5" i="3"/>
  <c r="B5" i="3"/>
  <c r="C4" i="3"/>
  <c r="B4" i="3"/>
  <c r="C29" i="2"/>
  <c r="B29" i="2"/>
  <c r="C28" i="2"/>
  <c r="B28" i="2"/>
  <c r="C27" i="2"/>
  <c r="B27" i="2"/>
  <c r="C26" i="2"/>
  <c r="B26" i="2"/>
  <c r="C24" i="2"/>
  <c r="B24" i="2"/>
  <c r="C23" i="2"/>
  <c r="B23" i="2"/>
  <c r="B20" i="2" s="1"/>
  <c r="C22" i="2"/>
  <c r="B22" i="2"/>
  <c r="C21" i="2"/>
  <c r="B21" i="2"/>
  <c r="C19" i="2"/>
  <c r="B19" i="2"/>
  <c r="C18" i="2"/>
  <c r="B18" i="2"/>
  <c r="C17" i="2"/>
  <c r="B17" i="2"/>
  <c r="C16" i="2"/>
  <c r="B16" i="2"/>
  <c r="C15" i="2"/>
  <c r="B15" i="2"/>
  <c r="C14" i="2"/>
  <c r="B14" i="2"/>
  <c r="C13" i="2"/>
  <c r="B13" i="2"/>
  <c r="C11" i="2"/>
  <c r="B11" i="2"/>
  <c r="C10" i="2"/>
  <c r="B10" i="2"/>
  <c r="C9" i="2"/>
  <c r="B9" i="2"/>
  <c r="C8" i="2"/>
  <c r="B8" i="2"/>
  <c r="C7" i="2"/>
  <c r="B7" i="2"/>
  <c r="C6" i="2"/>
  <c r="B6" i="2"/>
  <c r="C5" i="2"/>
  <c r="B5" i="2"/>
  <c r="C4" i="2"/>
  <c r="B4" i="2"/>
  <c r="B20" i="3" l="1"/>
  <c r="C20" i="3"/>
  <c r="C12" i="3"/>
  <c r="C25" i="3"/>
  <c r="B25" i="3"/>
  <c r="B3" i="3"/>
  <c r="C3" i="3"/>
  <c r="B12" i="3"/>
  <c r="C25" i="2"/>
  <c r="C20" i="2"/>
  <c r="B3" i="2"/>
  <c r="C12" i="2"/>
  <c r="B12" i="2"/>
  <c r="C3" i="2"/>
  <c r="C1" i="2" s="1"/>
  <c r="B25" i="2"/>
  <c r="B1" i="2" s="1"/>
  <c r="C1" i="3" l="1"/>
  <c r="B1" i="3"/>
</calcChain>
</file>

<file path=xl/sharedStrings.xml><?xml version="1.0" encoding="utf-8"?>
<sst xmlns="http://schemas.openxmlformats.org/spreadsheetml/2006/main" count="138" uniqueCount="108">
  <si>
    <t>提交序号</t>
  </si>
  <si>
    <t>状态</t>
  </si>
  <si>
    <t>Q2-酒店客户身份</t>
  </si>
  <si>
    <t>Q3-第几次入住北辰大酒店</t>
  </si>
  <si>
    <t>Q4-您的性别</t>
  </si>
  <si>
    <t>Q5-您的年龄</t>
  </si>
  <si>
    <t>Q8-请问您对杭州国际博览中心北辰大酒店的交通便利性评价？请用1-10分打分。-外部交通便利，容易到达(满意度)</t>
  </si>
  <si>
    <t>Q8-请问您对杭州国际博览中心北辰大酒店的交通便利性评价？请用1-10分打分。-外部交通便利，容易到达(重要性)</t>
  </si>
  <si>
    <t>Q8-请问您对杭州国际博览中心北辰大酒店的交通便利性评价？请用1-10分打分。-内部交通，停车便利(满意度)</t>
  </si>
  <si>
    <t>Q8-请问您对杭州国际博览中心北辰大酒店的交通便利性评价？请用1-10分打分。-内部交通，停车便利(重要性)</t>
  </si>
  <si>
    <t>Q9-请问您对杭州国际博览中心北辰大酒店标识标牌清晰评价？请用1-10分打分。-标识标牌清晰(满意度)</t>
  </si>
  <si>
    <t>Q9-请问您对杭州国际博览中心北辰大酒店标识标牌清晰评价？请用1-10分打分。-标识标牌清晰(重要性)</t>
  </si>
  <si>
    <t>Q10-请问您对北辰大酒店适合商务旅行（提供便利高效的商务服务，包括完善的会议设施、快速稳定的无线网络、舒适的客房办公区域）评价？请用1-10分打分。-商务旅行服务(满意度)</t>
  </si>
  <si>
    <t>Q10-请问您对北辰大酒店适合商务旅行（提供便利高效的商务服务，包括完善的会议设施、快速稳定的无线网络、舒适的客房办公区域）评价？请用1-10分打分。-商务旅行服务(重要性)</t>
  </si>
  <si>
    <t>Q11-请问您对北辰大酒店客房情况评价？请用1-10分打分。-客房整体环境（装修，卫生）(满意度)</t>
  </si>
  <si>
    <t>Q11-请问您对北辰大酒店客房情况评价？请用1-10分打分。-客房整体环境（装修，卫生）(重要性)</t>
  </si>
  <si>
    <t>Q11-请问您对北辰大酒店客房情况评价？请用1-10分打分。-客房设施设备（空调、热水、无线、电视、电话等）(满意度)</t>
  </si>
  <si>
    <t>Q11-请问您对北辰大酒店客房情况评价？请用1-10分打分。-客房设施设备（空调、热水、无线、电视、电话等）(重要性)</t>
  </si>
  <si>
    <t>Q11-请问您对北辰大酒店客房情况评价？请用1-10分打分。-客房住宿用品质量（酒店用品、床铺）(满意度)</t>
  </si>
  <si>
    <t>Q11-请问您对北辰大酒店客房情况评价？请用1-10分打分。-客房住宿用品质量（酒店用品、床铺）(重要性)</t>
  </si>
  <si>
    <t>Q11-请问您对北辰大酒店客房情况评价？请用1-10分打分。-客房私密性（隔音、门禁等）(满意度)</t>
  </si>
  <si>
    <t>Q11-请问您对北辰大酒店客房情况评价？请用1-10分打分。-客房私密性（隔音、门禁等）(重要性)</t>
  </si>
  <si>
    <t>Q12-请问您对北辰大酒店服务流程评价？请用1-10分打分。（未使用则选不涉及）-礼宾服务（迎宾、接待指引等）(满意度)</t>
  </si>
  <si>
    <t>Q12-请问您对北辰大酒店服务流程评价？请用1-10分打分。（未使用则选不涉及）-礼宾服务（迎宾、接待指引等）(重要性)</t>
  </si>
  <si>
    <t>Q12-请问您对北辰大酒店服务流程评价？请用1-10分打分。（未使用则选不涉及）-入住登记服务(满意度)</t>
  </si>
  <si>
    <t>Q12-请问您对北辰大酒店服务流程评价？请用1-10分打分。（未使用则选不涉及）-入住登记服务(重要性)</t>
  </si>
  <si>
    <t>Q12-请问您对北辰大酒店服务流程评价？请用1-10分打分。（未使用则选不涉及）-客房服务（寄存、叫醒服务等）(满意度)</t>
  </si>
  <si>
    <t>Q12-请问您对北辰大酒店服务流程评价？请用1-10分打分。（未使用则选不涉及）-客房服务（寄存、叫醒服务等）(重要性)</t>
  </si>
  <si>
    <t>Q12-请问您对北辰大酒店服务流程评价？请用1-10分打分。（未使用则选不涉及）-离店退房服务(满意度)</t>
  </si>
  <si>
    <t>Q12-请问您对北辰大酒店服务流程评价？请用1-10分打分。（未使用则选不涉及）-离店退房服务(重要性)</t>
  </si>
  <si>
    <t>Q13-请问您对杭州国际博览中心北辰大酒店工作人员评价？请用1-10分打分。-工作人员业务技能(满意度)</t>
  </si>
  <si>
    <t>Q13-请问您对杭州国际博览中心北辰大酒店工作人员评价？请用1-10分打分。-工作人员业务技能(重要性)</t>
  </si>
  <si>
    <t>Q13-请问您对杭州国际博览中心北辰大酒店工作人员评价？请用1-10分打分。-工作人员服务态度(满意度)</t>
  </si>
  <si>
    <t>Q13-请问您对杭州国际博览中心北辰大酒店工作人员评价？请用1-10分打分。-工作人员服务态度(重要性)</t>
  </si>
  <si>
    <t>Q13-请问您对杭州国际博览中心北辰大酒店工作人员评价？请用1-10分打分。-工作人员仪容仪表(满意度)</t>
  </si>
  <si>
    <t>Q13-请问您对杭州国际博览中心北辰大酒店工作人员评价？请用1-10分打分。-工作人员仪容仪表(重要性)</t>
  </si>
  <si>
    <t>Q14-请问您对北辰大酒店餐饮服务评价？请用1-10分打分。（未使用则选不涉及）-自助早餐（自助早餐种类、质量等服务）(满意度)</t>
  </si>
  <si>
    <t>Q14-请问您对北辰大酒店餐饮服务评价？请用1-10分打分。（未使用则选不涉及）-自助早餐（自助早餐种类、质量等服务）(重要性)</t>
  </si>
  <si>
    <t>Q14-请问您对北辰大酒店餐饮服务评价？请用1-10分打分。（未使用则选不涉及）-自助晚餐（自助晚餐种类、质量等服务）(满意度)</t>
  </si>
  <si>
    <t>Q14-请问您对北辰大酒店餐饮服务评价？请用1-10分打分。（未使用则选不涉及）-自助晚餐（自助晚餐种类、质量等服务）(重要性)</t>
  </si>
  <si>
    <t>Q14-请问您对北辰大酒店餐饮服务评价？请用1-10分打分。（未使用则选不涉及）-送餐服务（送餐服务周到、迅速）(满意度)</t>
  </si>
  <si>
    <t>Q14-请问您对北辰大酒店餐饮服务评价？请用1-10分打分。（未使用则选不涉及）-送餐服务（送餐服务周到、迅速）(重要性)</t>
  </si>
  <si>
    <t>Q14-请问您对北辰大酒店餐饮服务评价？请用1-10分打分。（未使用则选不涉及）-零点服务（快速响应、食品质量、菜单选择、服务态度）(满意度)</t>
  </si>
  <si>
    <t>Q14-请问您对北辰大酒店餐饮服务评价？请用1-10分打分。（未使用则选不涉及）-零点服务（快速响应、食品质量、菜单选择、服务态度）(重要性)</t>
  </si>
  <si>
    <t>Q15-您知道杭州国际博览中心杭州国博APP吗？</t>
  </si>
  <si>
    <t>Q16-请问您对杭州国际博览中心杭州国博APP评价评价？请用1-10分打分。-杭州国博APP(满意度)</t>
  </si>
  <si>
    <t>Q16-请问您对杭州国际博览中心杭州国博APP评价评价？请用1-10分打分。-杭州国博APP(重要性)</t>
  </si>
  <si>
    <t>Q17-您知道杭州国际博览中心室内导航系统评价？请用1-10分打分。</t>
  </si>
  <si>
    <t>Q18-请问您对杭州国际博览中心室内导航系统评价如何？-室内导航系统(满意度)</t>
  </si>
  <si>
    <t>Q18-请问您对杭州国际博览中心室内导航系统评价如何？-室内导航系统(重要性)</t>
  </si>
  <si>
    <t>Q19-您知道杭州国际博览中心寻车系统评价？请用1-10分打分。</t>
  </si>
  <si>
    <t>Q20-请问您对杭州国际博览中心寻车系统评价？请用1-10分打分。-寻车系统(满意度)</t>
  </si>
  <si>
    <t>Q20-请问您对杭州国际博览中心寻车系统评价？请用1-10分打分。-寻车系统(重要性)</t>
  </si>
  <si>
    <t>Q21-您知道杭州国际博览中心云上看馆吗？</t>
  </si>
  <si>
    <t>Q22-请问您对杭州国际博览中心云上看馆评价？请用1-10分打分。-云上看馆(满意度)</t>
  </si>
  <si>
    <t>Q22-请问您对杭州国际博览中心云上看馆评价？请用1-10分打分。-云上看馆(重要性)</t>
  </si>
  <si>
    <t xml:space="preserve">Q23-
请问您对酒店客房价格和品质的满意程度如何？【单选】 请用1-10分打分。
</t>
  </si>
  <si>
    <t>Q24-请问您对本次入住服务的总体满意程度如何？【单选】 请用1-10分打分。—满意度</t>
  </si>
  <si>
    <t>Q25-本次入住服务是否有达到您的预期？</t>
  </si>
  <si>
    <t>Q26-您是否会再次选择入住这家酒店？【单选】</t>
  </si>
  <si>
    <t>Q27-您是否会向其他人推荐这家酒店？【单选】</t>
  </si>
  <si>
    <t xml:space="preserve">Q28-
请问您对酒店的评价或建议？【开放题】
</t>
  </si>
  <si>
    <t>扩展字段</t>
  </si>
  <si>
    <t>用户ID</t>
  </si>
  <si>
    <t>修改用户</t>
  </si>
  <si>
    <t>提交时间</t>
  </si>
  <si>
    <t>修改时间</t>
  </si>
  <si>
    <t>录音</t>
  </si>
  <si>
    <t>填表时长</t>
  </si>
  <si>
    <t>开始填表时间</t>
  </si>
  <si>
    <t>待审核的任务id</t>
  </si>
  <si>
    <t>上次审核的任务id</t>
  </si>
  <si>
    <t>层级列表</t>
  </si>
  <si>
    <t>待审核的用户</t>
  </si>
  <si>
    <t>填表地址</t>
  </si>
  <si>
    <t>用户名称</t>
  </si>
  <si>
    <t>散客</t>
  </si>
  <si>
    <t>住宿团队</t>
  </si>
  <si>
    <t>指标</t>
  </si>
  <si>
    <t>满意度</t>
  </si>
  <si>
    <t>重要性</t>
  </si>
  <si>
    <t>硬件设施</t>
  </si>
  <si>
    <t>交通便利，容易到达</t>
  </si>
  <si>
    <t>标识标牌清晰</t>
  </si>
  <si>
    <t>适合商务旅行</t>
  </si>
  <si>
    <t>园区停车方便</t>
  </si>
  <si>
    <t>客房整体环境</t>
  </si>
  <si>
    <t>客房设施设备</t>
  </si>
  <si>
    <t>住宿用品质量</t>
  </si>
  <si>
    <t>客房私密性</t>
  </si>
  <si>
    <t>入住服务</t>
  </si>
  <si>
    <t>礼宾服务</t>
  </si>
  <si>
    <t>入住登记</t>
  </si>
  <si>
    <t>客房服务</t>
  </si>
  <si>
    <t>离店退房</t>
  </si>
  <si>
    <t>工作人员仪容仪表</t>
  </si>
  <si>
    <t>工作人员服务态度</t>
  </si>
  <si>
    <t>工作人员业务技能</t>
  </si>
  <si>
    <t>餐饮服务</t>
  </si>
  <si>
    <t>自助早餐</t>
  </si>
  <si>
    <t>自助晚餐</t>
  </si>
  <si>
    <t>送餐服务</t>
  </si>
  <si>
    <t>零点服务</t>
  </si>
  <si>
    <t>智慧场馆</t>
  </si>
  <si>
    <t>杭州国博APP</t>
  </si>
  <si>
    <t>室内导航系统</t>
  </si>
  <si>
    <t>寻车系统</t>
  </si>
  <si>
    <t>云上看馆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</si>
</sst>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indexed="8"/>
      <name val="宋体"/>
      <charset val="134"/>
      <scheme val="minor"/>
    </font>
    <font>
      <sz val="9"/>
      <name val="宋体"/>
      <family val="3"/>
      <charset val="134"/>
      <scheme val="minor"/>
    </font>
    <font>
      <sz val="12"/>
      <color rgb="FF0D0D0D"/>
      <name val="Menlo"/>
      <family val="2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9" tint="0.79989013336588644"/>
        <bgColor indexed="64"/>
      </patternFill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BX1"/>
  <sheetViews>
    <sheetView workbookViewId="0">
      <selection activeCell="D53" sqref="D53"/>
    </sheetView>
  </sheetViews>
  <sheetFormatPr baseColWidth="10" defaultColWidth="9" defaultRowHeight="14"/>
  <cols>
    <col min="1" max="1" width="5.33203125" customWidth="1"/>
    <col min="2" max="2" width="6.5" customWidth="1"/>
    <col min="3" max="3" width="10.83203125" customWidth="1"/>
    <col min="4" max="4" width="15.33203125" customWidth="1"/>
    <col min="5" max="6" width="8.6640625" customWidth="1"/>
    <col min="7" max="8" width="61.1640625" customWidth="1"/>
    <col min="9" max="10" width="59" customWidth="1"/>
    <col min="11" max="12" width="55.6640625" customWidth="1"/>
    <col min="13" max="14" width="95.33203125" customWidth="1"/>
    <col min="15" max="16" width="53.5" customWidth="1"/>
    <col min="17" max="18" width="64.5" customWidth="1"/>
    <col min="19" max="19" width="57.83203125" style="1" customWidth="1"/>
    <col min="20" max="20" width="57.83203125" customWidth="1"/>
    <col min="21" max="22" width="53.5" customWidth="1"/>
    <col min="23" max="24" width="65.6640625" customWidth="1"/>
    <col min="25" max="26" width="56.83203125" customWidth="1"/>
    <col min="27" max="28" width="65.6640625" customWidth="1"/>
    <col min="29" max="36" width="56.83203125" customWidth="1"/>
    <col min="37" max="40" width="70" customWidth="1"/>
    <col min="41" max="42" width="66.6640625" customWidth="1"/>
    <col min="43" max="44" width="77.6640625" customWidth="1"/>
    <col min="45" max="45" width="27.6640625" customWidth="1"/>
    <col min="46" max="47" width="56.1640625" customWidth="1"/>
    <col min="48" max="48" width="38.1640625" customWidth="1"/>
    <col min="49" max="50" width="42.83203125" customWidth="1"/>
    <col min="51" max="51" width="36" customWidth="1"/>
    <col min="52" max="53" width="46.83203125" customWidth="1"/>
    <col min="54" max="54" width="24.1640625" customWidth="1"/>
    <col min="55" max="56" width="46.83203125" customWidth="1"/>
    <col min="57" max="57" width="39.83203125" customWidth="1"/>
    <col min="58" max="58" width="48.33203125" customWidth="1"/>
    <col min="59" max="59" width="23.1640625" customWidth="1"/>
    <col min="60" max="61" width="26.33203125" customWidth="1"/>
    <col min="62" max="62" width="50.5" customWidth="1"/>
    <col min="63" max="63" width="5.33203125" customWidth="1"/>
    <col min="64" max="64" width="5.1640625" customWidth="1"/>
    <col min="65" max="65" width="5.33203125" customWidth="1"/>
    <col min="66" max="67" width="20.5" customWidth="1"/>
    <col min="68" max="68" width="101" customWidth="1"/>
    <col min="69" max="69" width="9.1640625" customWidth="1"/>
    <col min="70" max="70" width="20.5" customWidth="1"/>
    <col min="71" max="71" width="9.33203125" customWidth="1"/>
    <col min="72" max="72" width="10.33203125" customWidth="1"/>
    <col min="73" max="73" width="14.5" customWidth="1"/>
    <col min="74" max="74" width="7.6640625" customWidth="1"/>
    <col min="75" max="75" width="37.33203125" customWidth="1"/>
    <col min="76" max="76" width="7.6640625" customWidth="1"/>
  </cols>
  <sheetData>
    <row r="1" spans="1:7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C29"/>
  <sheetViews>
    <sheetView zoomScaleNormal="62" workbookViewId="0">
      <selection activeCell="B1" sqref="B1"/>
    </sheetView>
  </sheetViews>
  <sheetFormatPr baseColWidth="10" defaultColWidth="8.83203125" defaultRowHeight="14"/>
  <cols>
    <col min="1" max="1" width="22.1640625" style="1" customWidth="1"/>
    <col min="2" max="3" width="8.83203125" style="1"/>
  </cols>
  <sheetData>
    <row r="1" spans="1:3">
      <c r="A1" s="2" t="s">
        <v>76</v>
      </c>
      <c r="B1" s="2" t="str">
        <f>IFERROR(ROUND(AVERAGE(B3,B12,B20,B25),2),"")</f>
        <v/>
      </c>
      <c r="C1" s="2" t="str">
        <f>IFERROR(ROUND(AVERAGE(C3,C12,C20,C25),2),"")</f>
        <v/>
      </c>
    </row>
    <row r="2" spans="1:3">
      <c r="A2" s="1" t="s">
        <v>78</v>
      </c>
      <c r="B2" s="1" t="s">
        <v>79</v>
      </c>
      <c r="C2" s="1" t="s">
        <v>80</v>
      </c>
    </row>
    <row r="3" spans="1:3">
      <c r="A3" s="3" t="s">
        <v>81</v>
      </c>
      <c r="B3" s="3" t="str">
        <f>IFERROR(ROUND(AVERAGE(B4:B11),2),"")</f>
        <v/>
      </c>
      <c r="C3" s="3" t="str">
        <f>IFERROR(ROUND(AVERAGE(C4:C11),2),"")</f>
        <v/>
      </c>
    </row>
    <row r="4" spans="1:3">
      <c r="A4" s="1" t="s">
        <v>82</v>
      </c>
      <c r="B4" s="1" t="str">
        <f>IFERROR(ROUND(AVERAGEIFS(问卷数据!$G:$G,问卷数据!$C:$C,$A$1,问卷数据!$G:$G,"&gt;0",问卷数据!$G:$G,"&lt;11"),2),"")</f>
        <v/>
      </c>
      <c r="C4" s="1" t="str">
        <f>IFERROR(ROUND(AVERAGEIFS(问卷数据!$H:$H,问卷数据!$C:$C,$A$1,问卷数据!$H:$H,"&gt;0",问卷数据!$H:$H,"&lt;11"),2),"")</f>
        <v/>
      </c>
    </row>
    <row r="5" spans="1:3">
      <c r="A5" s="1" t="s">
        <v>83</v>
      </c>
      <c r="B5" s="1" t="str">
        <f>IFERROR(ROUND(AVERAGEIFS(问卷数据!$K:$K,问卷数据!$C:$C,$A$1,问卷数据!$K:$K,"&gt;0",问卷数据!$K:$K,"&lt;11"),2),"")</f>
        <v/>
      </c>
      <c r="C5" s="1" t="str">
        <f>IFERROR(ROUND(AVERAGEIFS(问卷数据!$L:$L,问卷数据!$C:$C,$A$1,问卷数据!$L:$L,"&gt;0",问卷数据!$L:$L,"&lt;11"),2),"")</f>
        <v/>
      </c>
    </row>
    <row r="6" spans="1:3">
      <c r="A6" s="1" t="s">
        <v>84</v>
      </c>
      <c r="B6" s="1" t="str">
        <f>IFERROR(ROUND(AVERAGEIFS(问卷数据!$M:$M,问卷数据!$C:$C,$A$1,问卷数据!$M:$M,"&gt;0",问卷数据!$M:$M,"&lt;11"),2),"")</f>
        <v/>
      </c>
      <c r="C6" s="1" t="str">
        <f>IFERROR(ROUND(AVERAGEIFS(问卷数据!$N:$N,问卷数据!$C:$C,$A$1,问卷数据!$N:$N,"&gt;0",问卷数据!$N:$N,"&lt;11"),2),"")</f>
        <v/>
      </c>
    </row>
    <row r="7" spans="1:3">
      <c r="A7" s="1" t="s">
        <v>85</v>
      </c>
      <c r="B7" s="1" t="str">
        <f>IFERROR(ROUND(AVERAGEIFS(问卷数据!$I:$I,问卷数据!$C:$C,$A$1,问卷数据!$I:$I,"&gt;0",问卷数据!$I:$I,"&lt;11"),2),"")</f>
        <v/>
      </c>
      <c r="C7" s="1" t="str">
        <f>IFERROR(ROUND(AVERAGEIFS(问卷数据!$J:$J,问卷数据!$C:$C,$A$1,问卷数据!$J:$J,"&gt;0",问卷数据!$J:$J,"&lt;11"),2),"")</f>
        <v/>
      </c>
    </row>
    <row r="8" spans="1:3">
      <c r="A8" s="1" t="s">
        <v>86</v>
      </c>
      <c r="B8" s="1" t="str">
        <f>IFERROR(ROUND(AVERAGEIFS(问卷数据!$O:$O,问卷数据!$C:$C,$A$1,问卷数据!$O:$O,"&gt;0",问卷数据!$O:$O,"&lt;11"),2),"")</f>
        <v/>
      </c>
      <c r="C8" s="1" t="str">
        <f>IFERROR(ROUND(AVERAGEIFS(问卷数据!$P:$P,问卷数据!$C:$C,$A$1,问卷数据!$P:$P,"&gt;0",问卷数据!$P:$P,"&lt;11"),2),"")</f>
        <v/>
      </c>
    </row>
    <row r="9" spans="1:3">
      <c r="A9" s="1" t="s">
        <v>87</v>
      </c>
      <c r="B9" s="1" t="str">
        <f>IFERROR(ROUND(AVERAGEIFS(问卷数据!$Q:$Q,问卷数据!$C:$C,$A$1,问卷数据!$Q:$Q,"&gt;0",问卷数据!$Q:$Q,"&lt;11"),2),"")</f>
        <v/>
      </c>
      <c r="C9" s="1" t="str">
        <f>IFERROR(ROUND(AVERAGEIFS(问卷数据!R:R,问卷数据!$C:$C,$A$1,问卷数据!R:R,"&gt;0",问卷数据!R:R,"&lt;11"),2),"")</f>
        <v/>
      </c>
    </row>
    <row r="10" spans="1:3">
      <c r="A10" s="1" t="s">
        <v>88</v>
      </c>
      <c r="B10" s="1" t="str">
        <f>IFERROR(ROUND(AVERAGEIFS(问卷数据!$S:$S,问卷数据!$C:$C,$A$1,问卷数据!$S:$S,"&gt;0",问卷数据!$S:$S,"&lt;11"),2),"")</f>
        <v/>
      </c>
      <c r="C10" s="1" t="str">
        <f>IFERROR(ROUND(AVERAGEIFS(问卷数据!$T:$T,问卷数据!$C:$C,$A$1,问卷数据!$T:$T,"&gt;0",问卷数据!$T:$T,"&lt;11"),2),"")</f>
        <v/>
      </c>
    </row>
    <row r="11" spans="1:3">
      <c r="A11" s="1" t="s">
        <v>89</v>
      </c>
      <c r="B11" s="1" t="str">
        <f>IFERROR(ROUND(AVERAGEIFS(问卷数据!$U:$U,问卷数据!$C:$C,$A$1,问卷数据!$U:$U,"&gt;0",问卷数据!$U:$U,"&lt;11"),2),"")</f>
        <v/>
      </c>
      <c r="C11" s="1" t="str">
        <f>IFERROR(ROUND(AVERAGEIFS(问卷数据!$V:$V,问卷数据!$C:$C,$A$1,问卷数据!$V:$V,"&gt;0",问卷数据!$V:$V,"&lt;11"),2),"")</f>
        <v/>
      </c>
    </row>
    <row r="12" spans="1:3">
      <c r="A12" s="3" t="s">
        <v>90</v>
      </c>
      <c r="B12" s="3" t="str">
        <f>IFERROR(ROUND(AVERAGE(B13:B19),2),"")</f>
        <v/>
      </c>
      <c r="C12" s="3" t="str">
        <f>IFERROR(ROUND(AVERAGE(C13:C19),2),"")</f>
        <v/>
      </c>
    </row>
    <row r="13" spans="1:3">
      <c r="A13" s="1" t="s">
        <v>91</v>
      </c>
      <c r="B13" s="1" t="str">
        <f>IFERROR(ROUND(AVERAGEIFS(问卷数据!$W:$W,问卷数据!$C:$C,$A$1,问卷数据!$W:$W,"&gt;0",问卷数据!$W:$W,"&lt;11"),2),"")</f>
        <v/>
      </c>
      <c r="C13" s="1" t="str">
        <f>IFERROR(ROUND(AVERAGEIFS(问卷数据!$X:$X,问卷数据!$C:$C,$A$1,问卷数据!$X:$X,"&gt;0",问卷数据!$X:$X,"&lt;11"),2),"")</f>
        <v/>
      </c>
    </row>
    <row r="14" spans="1:3">
      <c r="A14" s="1" t="s">
        <v>92</v>
      </c>
      <c r="B14" s="1" t="str">
        <f>IFERROR(ROUND(AVERAGEIFS(问卷数据!$Y:$Y,问卷数据!$C:$C,$A$1,问卷数据!$Y:$Y,"&gt;0",问卷数据!$Y:$Y,"&lt;11"),2),"")</f>
        <v/>
      </c>
      <c r="C14" s="1" t="str">
        <f>IFERROR(ROUND(AVERAGEIFS(问卷数据!Z:Z,问卷数据!$C:$C,$A$1,问卷数据!Z:Z,"&gt;0",问卷数据!Z:Z,"&lt;11"),2),"")</f>
        <v/>
      </c>
    </row>
    <row r="15" spans="1:3">
      <c r="A15" s="1" t="s">
        <v>93</v>
      </c>
      <c r="B15" s="1" t="str">
        <f>IFERROR(ROUND(AVERAGEIFS(问卷数据!$AA:$AA,问卷数据!$C:$C,$A$1,问卷数据!$AA:$AA,"&gt;0",问卷数据!$AA:$AA,"&lt;11"),2),"")</f>
        <v/>
      </c>
      <c r="C15" s="1" t="str">
        <f>IFERROR(ROUND(AVERAGEIFS(问卷数据!$AB:$AB,问卷数据!$C:$C,$A$1,问卷数据!$AB:$AB,"&gt;0",问卷数据!$AB:$AB,"&lt;11"),2),"")</f>
        <v/>
      </c>
    </row>
    <row r="16" spans="1:3">
      <c r="A16" s="1" t="s">
        <v>94</v>
      </c>
      <c r="B16" s="1" t="str">
        <f>IFERROR(ROUND(AVERAGEIFS(问卷数据!$AC:$AC,问卷数据!$C:$C,$A$1,问卷数据!$AC:$AC,"&gt;0",问卷数据!$AC:$AC,"&lt;11"),2),"")</f>
        <v/>
      </c>
      <c r="C16" s="1" t="str">
        <f>IFERROR(ROUND(AVERAGEIFS(问卷数据!AD:AD,问卷数据!$C:$C,$A$1,问卷数据!AD:AD,"&gt;0",问卷数据!AD:AD,"&lt;11"),2),"")</f>
        <v/>
      </c>
    </row>
    <row r="17" spans="1:3">
      <c r="A17" s="1" t="s">
        <v>95</v>
      </c>
      <c r="B17" s="1" t="str">
        <f>IFERROR(ROUND(AVERAGEIFS(问卷数据!$AI:$AI,问卷数据!$C:$C,$A$1,问卷数据!$AI:$AI,"&gt;0",问卷数据!$AI:$AI,"&lt;11"),2),"")</f>
        <v/>
      </c>
      <c r="C17" s="1" t="str">
        <f>IFERROR(ROUND(AVERAGEIFS(问卷数据!$AJ:$AJ,问卷数据!$C:$C,$A$1,问卷数据!$AJ:$AJ,"&gt;0",问卷数据!$AJ:$AJ,"&lt;11"),2),"")</f>
        <v/>
      </c>
    </row>
    <row r="18" spans="1:3">
      <c r="A18" s="1" t="s">
        <v>96</v>
      </c>
      <c r="B18" s="1" t="str">
        <f>IFERROR(ROUND(AVERAGEIFS(问卷数据!$AG:$AG,问卷数据!$C:$C,$A$1,问卷数据!$AG:$AG,"&gt;0",问卷数据!$AG:$AG,"&lt;11"),2),"")</f>
        <v/>
      </c>
      <c r="C18" s="1" t="str">
        <f>IFERROR(ROUND(AVERAGEIFS(问卷数据!$AH:$AH,问卷数据!$C:$C,$A$1,问卷数据!$AH:$AH,"&gt;0",问卷数据!$AH:$AH,"&lt;11"),2),"")</f>
        <v/>
      </c>
    </row>
    <row r="19" spans="1:3">
      <c r="A19" s="1" t="s">
        <v>97</v>
      </c>
      <c r="B19" s="1" t="str">
        <f>IFERROR(ROUND(AVERAGEIFS(问卷数据!$AE:$AE,问卷数据!$C:$C,$A$1,问卷数据!$AE:$AE,"&gt;0",问卷数据!$AE:$AE,"&lt;11"),2),"")</f>
        <v/>
      </c>
      <c r="C19" s="1" t="str">
        <f>IFERROR(ROUND(AVERAGEIFS(问卷数据!$AF:$AF,问卷数据!$C:$C,$A$1,问卷数据!$AF:$AF,"&gt;0",问卷数据!$AF:$AF,"&lt;11"),2),"")</f>
        <v/>
      </c>
    </row>
    <row r="20" spans="1:3">
      <c r="A20" s="3" t="s">
        <v>98</v>
      </c>
      <c r="B20" s="3" t="str">
        <f>IFERROR(ROUND(AVERAGE(B21:B24),2),"")</f>
        <v/>
      </c>
      <c r="C20" s="3" t="str">
        <f>IFERROR(ROUND(AVERAGE(C21:C24),2),"")</f>
        <v/>
      </c>
    </row>
    <row r="21" spans="1:3">
      <c r="A21" s="1" t="s">
        <v>99</v>
      </c>
      <c r="B21" s="1" t="str">
        <f>IFERROR(ROUND(AVERAGEIFS(问卷数据!$AK:$AK,问卷数据!$C:$C,$A$1,问卷数据!$AK:$AK,"&gt;0",问卷数据!$AK:$AK,"&lt;11"),2),"")</f>
        <v/>
      </c>
      <c r="C21" s="1" t="str">
        <f>IFERROR(ROUND(AVERAGEIFS(问卷数据!$AL:$AL,问卷数据!$C:$C,$A$1,问卷数据!$AL:$AL,"&gt;0",问卷数据!$AL:$AL,"&lt;11"),2),"")</f>
        <v/>
      </c>
    </row>
    <row r="22" spans="1:3">
      <c r="A22" s="1" t="s">
        <v>100</v>
      </c>
      <c r="B22" s="1" t="str">
        <f>IFERROR(ROUND(AVERAGEIFS(问卷数据!$AM:$AM,问卷数据!$C:$C,$A$1,问卷数据!$AM:$AM,"&gt;0",问卷数据!$AM:$AM,"&lt;11"),2),"")</f>
        <v/>
      </c>
      <c r="C22" s="1" t="str">
        <f>IFERROR(ROUND(AVERAGEIFS(问卷数据!$AN:$AN,问卷数据!$C:$C,$A$1,问卷数据!$AN:$AN,"&gt;0",问卷数据!$AN:$AN,"&lt;11"),2),"")</f>
        <v/>
      </c>
    </row>
    <row r="23" spans="1:3">
      <c r="A23" s="1" t="s">
        <v>101</v>
      </c>
      <c r="B23" s="1" t="str">
        <f>IFERROR(ROUND(AVERAGEIFS(问卷数据!$AO:$AO,问卷数据!$C:$C,$A$1,问卷数据!$AO:$AO,"&gt;0",问卷数据!$AO:$AO,"&lt;11"),2),"")</f>
        <v/>
      </c>
      <c r="C23" s="1" t="str">
        <f>IFERROR(ROUND(AVERAGEIFS(问卷数据!$AP:$AP,问卷数据!$C:$C,$A$1,问卷数据!$AP:$AP,"&gt;0",问卷数据!$AP:$AP,"&lt;11"),2),"")</f>
        <v/>
      </c>
    </row>
    <row r="24" spans="1:3">
      <c r="A24" s="1" t="s">
        <v>102</v>
      </c>
      <c r="B24" s="1" t="str">
        <f>IFERROR(ROUND(AVERAGEIFS(问卷数据!$AQ:$AQ,问卷数据!$C:$C,$A$1,问卷数据!$AQ:$AQ,"&gt;0",问卷数据!$AQ:$AQ,"&lt;11"),2),"")</f>
        <v/>
      </c>
      <c r="C24" s="1" t="str">
        <f>IFERROR(ROUND(AVERAGEIFS(问卷数据!AR:AR,问卷数据!$C:$C,$A$1,问卷数据!AR:AR,"&gt;0",问卷数据!AR:AR,"&lt;11"),2),"")</f>
        <v/>
      </c>
    </row>
    <row r="25" spans="1:3">
      <c r="A25" s="3" t="s">
        <v>103</v>
      </c>
      <c r="B25" s="3" t="str">
        <f>IFERROR(ROUND(AVERAGE(B26:B29),2),"")</f>
        <v/>
      </c>
      <c r="C25" s="3" t="str">
        <f>IFERROR(ROUND(AVERAGE(C26:C29),2),"")</f>
        <v/>
      </c>
    </row>
    <row r="26" spans="1:3">
      <c r="A26" s="1" t="s">
        <v>104</v>
      </c>
      <c r="B26" s="1" t="str">
        <f>IFERROR(ROUND(AVERAGEIFS(问卷数据!$AT:$AT,问卷数据!$C:$C,$A$1,问卷数据!$AT:$AT,"&gt;0",问卷数据!$AT:$AT,"&lt;11"),2),"")</f>
        <v/>
      </c>
      <c r="C26" s="1" t="str">
        <f>IFERROR(ROUND(AVERAGEIFS(问卷数据!$AU:$AU,问卷数据!$C:$C,$A$1,问卷数据!$AU:$AU,"&gt;0",问卷数据!$AU:$AU,"&lt;11"),2),"")</f>
        <v/>
      </c>
    </row>
    <row r="27" spans="1:3">
      <c r="A27" s="1" t="s">
        <v>105</v>
      </c>
      <c r="B27" s="1" t="str">
        <f>IFERROR(ROUND(AVERAGEIFS(问卷数据!$AW:$AW,问卷数据!$C:$C,$A$1,问卷数据!$AW:$AW,"&gt;0",问卷数据!$AW:$AW,"&lt;11"),2),"")</f>
        <v/>
      </c>
      <c r="C27" s="1" t="str">
        <f>IFERROR(ROUND(AVERAGEIFS(问卷数据!$AX:$AX,问卷数据!$C:$C,$A$1,问卷数据!$AX:$AX,"&gt;0",问卷数据!$AX:$AX,"&lt;11"),2),"")</f>
        <v/>
      </c>
    </row>
    <row r="28" spans="1:3">
      <c r="A28" s="1" t="s">
        <v>106</v>
      </c>
      <c r="B28" s="1" t="str">
        <f>IFERROR(ROUND(AVERAGEIFS(问卷数据!$AZ:$AZ,问卷数据!$C:$C,$A$1,问卷数据!$AZ:$AZ,"&gt;0",问卷数据!$AZ:$AZ,"&lt;11"),2),"")</f>
        <v/>
      </c>
      <c r="C28" s="1" t="str">
        <f>IFERROR(ROUND(AVERAGEIFS(问卷数据!$BA:$BA,问卷数据!$C:$C,$A$1,问卷数据!$BA:$BA,"&gt;0",问卷数据!$BA:$BA,"&lt;11"),2),"")</f>
        <v/>
      </c>
    </row>
    <row r="29" spans="1:3">
      <c r="A29" s="1" t="s">
        <v>107</v>
      </c>
      <c r="B29" s="1" t="str">
        <f>IFERROR(ROUND(AVERAGEIFS(问卷数据!$BC:$BC,问卷数据!$C:$C,$A$1,问卷数据!$BC:$BC,"&gt;0",问卷数据!$BC:$BC,"&lt;11"),2),"")</f>
        <v/>
      </c>
      <c r="C29" s="1" t="str">
        <f>IFERROR(ROUND(AVERAGEIFS(问卷数据!$BD:$BD,问卷数据!$C:$C,$A$1,问卷数据!$BD:$BD,"&gt;0",问卷数据!$BD:$BD,"&lt;11"),2),"")</f>
        <v/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67714-A8A3-C14E-8CDB-2351BC3072B8}">
  <dimension ref="A1:C29"/>
  <sheetViews>
    <sheetView tabSelected="1" zoomScaleNormal="62" workbookViewId="0">
      <selection activeCell="C14" sqref="C14"/>
    </sheetView>
  </sheetViews>
  <sheetFormatPr baseColWidth="10" defaultColWidth="8.83203125" defaultRowHeight="14"/>
  <cols>
    <col min="1" max="1" width="21.33203125" style="1" customWidth="1"/>
    <col min="2" max="3" width="8.83203125" style="1"/>
  </cols>
  <sheetData>
    <row r="1" spans="1:3">
      <c r="A1" s="2" t="s">
        <v>77</v>
      </c>
      <c r="B1" s="2" t="str">
        <f>IFERROR(ROUND(AVERAGE(B3,B12,B20,B25),2),"")</f>
        <v/>
      </c>
      <c r="C1" s="2" t="str">
        <f>IFERROR(ROUND(AVERAGE(C3,C12,C20,C25),2),"")</f>
        <v/>
      </c>
    </row>
    <row r="2" spans="1:3">
      <c r="A2" s="1" t="s">
        <v>78</v>
      </c>
      <c r="B2" s="1" t="s">
        <v>79</v>
      </c>
      <c r="C2" s="1" t="s">
        <v>80</v>
      </c>
    </row>
    <row r="3" spans="1:3">
      <c r="A3" s="3" t="s">
        <v>81</v>
      </c>
      <c r="B3" s="3" t="str">
        <f>IFERROR(ROUND(AVERAGE(B4:B11),2),"")</f>
        <v/>
      </c>
      <c r="C3" s="3" t="str">
        <f>IFERROR(ROUND(AVERAGE(C4:C11),2),"")</f>
        <v/>
      </c>
    </row>
    <row r="4" spans="1:3">
      <c r="A4" s="1" t="s">
        <v>82</v>
      </c>
      <c r="B4" s="1" t="str">
        <f>IFERROR(ROUND(AVERAGEIFS(问卷数据!$G:$G,问卷数据!$C:$C,$A$1,问卷数据!$G:$G,"&gt;0",问卷数据!$G:$G,"&lt;11"),2),"")</f>
        <v/>
      </c>
      <c r="C4" s="1" t="str">
        <f>IFERROR(ROUND(AVERAGEIFS(问卷数据!$H:$H,问卷数据!$C:$C,$A$1,问卷数据!$H:$H,"&gt;0",问卷数据!$H:$H,"&lt;11"),2),"")</f>
        <v/>
      </c>
    </row>
    <row r="5" spans="1:3">
      <c r="A5" s="1" t="s">
        <v>83</v>
      </c>
      <c r="B5" s="1" t="str">
        <f>IFERROR(ROUND(AVERAGEIFS(问卷数据!$K:$K,问卷数据!$C:$C,$A$1,问卷数据!$K:$K,"&gt;0",问卷数据!$K:$K,"&lt;11"),2),"")</f>
        <v/>
      </c>
      <c r="C5" s="1" t="str">
        <f>IFERROR(ROUND(AVERAGEIFS(问卷数据!$L:$L,问卷数据!$C:$C,$A$1,问卷数据!$L:$L,"&gt;0",问卷数据!$L:$L,"&lt;11"),2),"")</f>
        <v/>
      </c>
    </row>
    <row r="6" spans="1:3">
      <c r="A6" s="1" t="s">
        <v>84</v>
      </c>
      <c r="B6" s="1" t="str">
        <f>IFERROR(ROUND(AVERAGEIFS(问卷数据!$M:$M,问卷数据!$C:$C,$A$1,问卷数据!$M:$M,"&gt;0",问卷数据!$M:$M,"&lt;11"),2),"")</f>
        <v/>
      </c>
      <c r="C6" s="1" t="str">
        <f>IFERROR(ROUND(AVERAGEIFS(问卷数据!$N:$N,问卷数据!$C:$C,$A$1,问卷数据!$N:$N,"&gt;0",问卷数据!$N:$N,"&lt;11"),2),"")</f>
        <v/>
      </c>
    </row>
    <row r="7" spans="1:3">
      <c r="A7" s="1" t="s">
        <v>85</v>
      </c>
      <c r="B7" s="1" t="str">
        <f>IFERROR(ROUND(AVERAGEIFS(问卷数据!$I:$I,问卷数据!$C:$C,$A$1,问卷数据!$I:$I,"&gt;0",问卷数据!$I:$I,"&lt;11"),2),"")</f>
        <v/>
      </c>
      <c r="C7" s="1" t="str">
        <f>IFERROR(ROUND(AVERAGEIFS(问卷数据!$J:$J,问卷数据!$C:$C,$A$1,问卷数据!$J:$J,"&gt;0",问卷数据!$J:$J,"&lt;11"),2),"")</f>
        <v/>
      </c>
    </row>
    <row r="8" spans="1:3">
      <c r="A8" s="1" t="s">
        <v>86</v>
      </c>
      <c r="B8" s="1" t="str">
        <f>IFERROR(ROUND(AVERAGEIFS(问卷数据!$O:$O,问卷数据!$C:$C,$A$1,问卷数据!$O:$O,"&gt;0",问卷数据!$O:$O,"&lt;11"),2),"")</f>
        <v/>
      </c>
      <c r="C8" s="1" t="str">
        <f>IFERROR(ROUND(AVERAGEIFS(问卷数据!$P:$P,问卷数据!$C:$C,$A$1,问卷数据!$P:$P,"&gt;0",问卷数据!$P:$P,"&lt;11"),2),"")</f>
        <v/>
      </c>
    </row>
    <row r="9" spans="1:3" ht="16">
      <c r="A9" s="1" t="s">
        <v>87</v>
      </c>
      <c r="B9" s="1" t="str">
        <f>IFERROR(ROUND(AVERAGEIFS(问卷数据!$Q:$Q,问卷数据!$C:$C,$A$1,问卷数据!$Q:$Q,"&gt;0",问卷数据!$Q:$Q,"&lt;11"),2),"")</f>
        <v/>
      </c>
      <c r="C9" s="5" t="str">
        <f>IFERROR(ROUND(AVERAGEIFS(问卷数据!R:R,问卷数据!$C:$C,$A$1,问卷数据!R:R,"&gt;0",问卷数据!R:R,"&lt;11"),2),"")</f>
        <v/>
      </c>
    </row>
    <row r="10" spans="1:3">
      <c r="A10" s="1" t="s">
        <v>88</v>
      </c>
      <c r="B10" s="1" t="str">
        <f>IFERROR(ROUND(AVERAGEIFS(问卷数据!$S:$S,问卷数据!$C:$C,$A$1,问卷数据!$S:$S,"&gt;0",问卷数据!$S:$S,"&lt;11"),2),"")</f>
        <v/>
      </c>
      <c r="C10" s="1" t="str">
        <f>IFERROR(ROUND(AVERAGEIFS(问卷数据!$T:$T,问卷数据!$C:$C,$A$1,问卷数据!$T:$T,"&gt;0",问卷数据!$T:$T,"&lt;11"),2),"")</f>
        <v/>
      </c>
    </row>
    <row r="11" spans="1:3">
      <c r="A11" s="1" t="s">
        <v>89</v>
      </c>
      <c r="B11" s="1" t="str">
        <f>IFERROR(ROUND(AVERAGEIFS(问卷数据!$U:$U,问卷数据!$C:$C,$A$1,问卷数据!$U:$U,"&gt;0",问卷数据!$U:$U,"&lt;11"),2),"")</f>
        <v/>
      </c>
      <c r="C11" s="1" t="str">
        <f>IFERROR(ROUND(AVERAGEIFS(问卷数据!$V:$V,问卷数据!$C:$C,$A$1,问卷数据!$V:$V,"&gt;0",问卷数据!$V:$V,"&lt;11"),2),"")</f>
        <v/>
      </c>
    </row>
    <row r="12" spans="1:3">
      <c r="A12" s="3" t="s">
        <v>90</v>
      </c>
      <c r="B12" s="3" t="str">
        <f>IFERROR(ROUND(AVERAGE(B13:B19),2),"")</f>
        <v/>
      </c>
      <c r="C12" s="3" t="str">
        <f>IFERROR(ROUND(AVERAGE(C13:C19),2),"")</f>
        <v/>
      </c>
    </row>
    <row r="13" spans="1:3">
      <c r="A13" s="1" t="s">
        <v>91</v>
      </c>
      <c r="B13" s="1" t="str">
        <f>IFERROR(ROUND(AVERAGEIFS(问卷数据!$W:$W,问卷数据!$C:$C,$A$1,问卷数据!$W:$W,"&gt;0",问卷数据!$W:$W,"&lt;11"),2),"")</f>
        <v/>
      </c>
      <c r="C13" s="1" t="str">
        <f>IFERROR(ROUND(AVERAGEIFS(问卷数据!$X:$X,问卷数据!$C:$C,$A$1,问卷数据!$X:$X,"&gt;0",问卷数据!$X:$X,"&lt;11"),2),"")</f>
        <v/>
      </c>
    </row>
    <row r="14" spans="1:3" ht="16">
      <c r="A14" s="1" t="s">
        <v>92</v>
      </c>
      <c r="B14" s="1" t="str">
        <f>IFERROR(ROUND(AVERAGEIFS(问卷数据!$Y:$Y,问卷数据!$C:$C,$A$1,问卷数据!$Y:$Y,"&gt;0",问卷数据!$Y:$Y,"&lt;11"),2),"")</f>
        <v/>
      </c>
      <c r="C14" s="5" t="str">
        <f>IFERROR(ROUND(AVERAGEIFS(问卷数据!Z:Z,问卷数据!$C:$C,$A$1,问卷数据!Z:Z,"&gt;0",问卷数据!Z:Z,"&lt;11"),2),"")</f>
        <v/>
      </c>
    </row>
    <row r="15" spans="1:3">
      <c r="A15" s="1" t="s">
        <v>93</v>
      </c>
      <c r="B15" s="1" t="str">
        <f>IFERROR(ROUND(AVERAGEIFS(问卷数据!$AA:$AA,问卷数据!$C:$C,$A$1,问卷数据!$AA:$AA,"&gt;0",问卷数据!$AA:$AA,"&lt;11"),2),"")</f>
        <v/>
      </c>
      <c r="C15" s="1" t="str">
        <f>IFERROR(ROUND(AVERAGEIFS(问卷数据!$AB:$AB,问卷数据!$C:$C,$A$1,问卷数据!$AB:$AB,"&gt;0",问卷数据!$AB:$AB,"&lt;11"),2),"")</f>
        <v/>
      </c>
    </row>
    <row r="16" spans="1:3">
      <c r="A16" s="1" t="s">
        <v>94</v>
      </c>
      <c r="B16" s="1" t="str">
        <f>IFERROR(ROUND(AVERAGEIFS(问卷数据!$AC:$AC,问卷数据!$C:$C,$A$1,问卷数据!$AC:$AC,"&gt;0",问卷数据!$AC:$AC,"&lt;11"),2),"")</f>
        <v/>
      </c>
      <c r="C16" s="1" t="str">
        <f>IFERROR(ROUND(AVERAGEIFS(问卷数据!AD:AD,问卷数据!$C:$C,$A$1,问卷数据!AD:AD,"&gt;0",问卷数据!AD:AD,"&lt;11"),2),"")</f>
        <v/>
      </c>
    </row>
    <row r="17" spans="1:3">
      <c r="A17" s="1" t="s">
        <v>95</v>
      </c>
      <c r="B17" s="1" t="str">
        <f>IFERROR(ROUND(AVERAGEIFS(问卷数据!$AI:$AI,问卷数据!$C:$C,$A$1,问卷数据!$AI:$AI,"&gt;0",问卷数据!$AI:$AI,"&lt;11"),2),"")</f>
        <v/>
      </c>
      <c r="C17" s="1" t="str">
        <f>IFERROR(ROUND(AVERAGEIFS(问卷数据!$AJ:$AJ,问卷数据!$C:$C,$A$1,问卷数据!$AJ:$AJ,"&gt;0",问卷数据!$AJ:$AJ,"&lt;11"),2),"")</f>
        <v/>
      </c>
    </row>
    <row r="18" spans="1:3">
      <c r="A18" s="1" t="s">
        <v>96</v>
      </c>
      <c r="B18" s="1" t="str">
        <f>IFERROR(ROUND(AVERAGEIFS(问卷数据!$AG:$AG,问卷数据!$C:$C,$A$1,问卷数据!$AG:$AG,"&gt;0",问卷数据!$AG:$AG,"&lt;11"),2),"")</f>
        <v/>
      </c>
      <c r="C18" s="1" t="str">
        <f>IFERROR(ROUND(AVERAGEIFS(问卷数据!$AH:$AH,问卷数据!$C:$C,$A$1,问卷数据!$AH:$AH,"&gt;0",问卷数据!$AH:$AH,"&lt;11"),2),"")</f>
        <v/>
      </c>
    </row>
    <row r="19" spans="1:3">
      <c r="A19" s="1" t="s">
        <v>97</v>
      </c>
      <c r="B19" s="1" t="str">
        <f>IFERROR(ROUND(AVERAGEIFS(问卷数据!$AE:$AE,问卷数据!$C:$C,$A$1,问卷数据!$AE:$AE,"&gt;0",问卷数据!$AE:$AE,"&lt;11"),2),"")</f>
        <v/>
      </c>
      <c r="C19" s="1" t="str">
        <f>IFERROR(ROUND(AVERAGEIFS(问卷数据!$AF:$AF,问卷数据!$C:$C,$A$1,问卷数据!$AF:$AF,"&gt;0",问卷数据!$AF:$AF,"&lt;11"),2),"")</f>
        <v/>
      </c>
    </row>
    <row r="20" spans="1:3">
      <c r="A20" s="3" t="s">
        <v>98</v>
      </c>
      <c r="B20" s="3" t="str">
        <f>IFERROR(ROUND(AVERAGE(B21:B24),2),"")</f>
        <v/>
      </c>
      <c r="C20" s="3" t="str">
        <f>IFERROR(ROUND(AVERAGE(C21:C24),2),"")</f>
        <v/>
      </c>
    </row>
    <row r="21" spans="1:3">
      <c r="A21" s="1" t="s">
        <v>99</v>
      </c>
      <c r="B21" s="1" t="str">
        <f>IFERROR(ROUND(AVERAGEIFS(问卷数据!$AK:$AK,问卷数据!$C:$C,$A$1,问卷数据!$AK:$AK,"&gt;0",问卷数据!$AK:$AK,"&lt;11"),2),"")</f>
        <v/>
      </c>
      <c r="C21" s="1" t="str">
        <f>IFERROR(ROUND(AVERAGEIFS(问卷数据!$AL:$AL,问卷数据!$C:$C,$A$1,问卷数据!$AL:$AL,"&gt;0",问卷数据!$AL:$AL,"&lt;11"),2),"")</f>
        <v/>
      </c>
    </row>
    <row r="22" spans="1:3">
      <c r="A22" s="1" t="s">
        <v>100</v>
      </c>
      <c r="B22" s="1" t="str">
        <f>IFERROR(ROUND(AVERAGEIFS(问卷数据!$AM:$AM,问卷数据!$C:$C,$A$1,问卷数据!$AM:$AM,"&gt;0",问卷数据!$AM:$AM,"&lt;11"),2),"")</f>
        <v/>
      </c>
      <c r="C22" s="1" t="str">
        <f>IFERROR(ROUND(AVERAGEIFS(问卷数据!$AN:$AN,问卷数据!$C:$C,$A$1,问卷数据!$AN:$AN,"&gt;0",问卷数据!$AN:$AN,"&lt;11"),2),"")</f>
        <v/>
      </c>
    </row>
    <row r="23" spans="1:3">
      <c r="A23" s="1" t="s">
        <v>101</v>
      </c>
      <c r="B23" s="1" t="str">
        <f>IFERROR(ROUND(AVERAGEIFS(问卷数据!$AO:$AO,问卷数据!$C:$C,$A$1,问卷数据!$AO:$AO,"&gt;0",问卷数据!$AO:$AO,"&lt;11"),2),"")</f>
        <v/>
      </c>
      <c r="C23" s="1" t="str">
        <f>IFERROR(ROUND(AVERAGEIFS(问卷数据!$AP:$AP,问卷数据!$C:$C,$A$1,问卷数据!$AP:$AP,"&gt;0",问卷数据!$AP:$AP,"&lt;11"),2),"")</f>
        <v/>
      </c>
    </row>
    <row r="24" spans="1:3">
      <c r="A24" s="1" t="s">
        <v>102</v>
      </c>
      <c r="B24" s="1" t="str">
        <f>IFERROR(ROUND(AVERAGEIFS(问卷数据!$AQ:$AQ,问卷数据!$C:$C,$A$1,问卷数据!$AQ:$AQ,"&gt;0",问卷数据!$AQ:$AQ,"&lt;11"),2),"")</f>
        <v/>
      </c>
      <c r="C24" s="1" t="str">
        <f>IFERROR(ROUND(AVERAGEIFS(问卷数据!AR:AR,问卷数据!$C:$C,$A$1,问卷数据!AR:AR,"&gt;0",问卷数据!AR:AR,"&lt;11"),2),"")</f>
        <v/>
      </c>
    </row>
    <row r="25" spans="1:3">
      <c r="A25" s="3" t="s">
        <v>103</v>
      </c>
      <c r="B25" s="3" t="str">
        <f>IFERROR(ROUND(AVERAGE(B26:B29),2),"")</f>
        <v/>
      </c>
      <c r="C25" s="3" t="str">
        <f>IFERROR(ROUND(AVERAGE(C26:C29),2),"")</f>
        <v/>
      </c>
    </row>
    <row r="26" spans="1:3">
      <c r="A26" s="1" t="s">
        <v>104</v>
      </c>
      <c r="B26" s="1" t="str">
        <f>IFERROR(ROUND(AVERAGEIFS(问卷数据!$AT:$AT,问卷数据!$C:$C,$A$1,问卷数据!$AT:$AT,"&gt;0",问卷数据!$AT:$AT,"&lt;11"),2),"")</f>
        <v/>
      </c>
      <c r="C26" s="1" t="str">
        <f>IFERROR(ROUND(AVERAGEIFS(问卷数据!$AU:$AU,问卷数据!$C:$C,$A$1,问卷数据!$AU:$AU,"&gt;0",问卷数据!$AU:$AU,"&lt;11"),2),"")</f>
        <v/>
      </c>
    </row>
    <row r="27" spans="1:3">
      <c r="A27" s="1" t="s">
        <v>105</v>
      </c>
      <c r="B27" s="1" t="str">
        <f>IFERROR(ROUND(AVERAGEIFS(问卷数据!$AW:$AW,问卷数据!$C:$C,$A$1,问卷数据!$AW:$AW,"&gt;0",问卷数据!$AW:$AW,"&lt;11"),2),"")</f>
        <v/>
      </c>
      <c r="C27" s="1" t="str">
        <f>IFERROR(ROUND(AVERAGEIFS(问卷数据!$AX:$AX,问卷数据!$C:$C,$A$1,问卷数据!$AX:$AX,"&gt;0",问卷数据!$AX:$AX,"&lt;11"),2),"")</f>
        <v/>
      </c>
    </row>
    <row r="28" spans="1:3">
      <c r="A28" s="1" t="s">
        <v>106</v>
      </c>
      <c r="B28" s="1" t="str">
        <f>IFERROR(ROUND(AVERAGEIFS(问卷数据!$AZ:$AZ,问卷数据!$C:$C,$A$1,问卷数据!$AZ:$AZ,"&gt;0",问卷数据!$AZ:$AZ,"&lt;11"),2),"")</f>
        <v/>
      </c>
      <c r="C28" s="1" t="str">
        <f>IFERROR(ROUND(AVERAGEIFS(问卷数据!$BA:$BA,问卷数据!$C:$C,$A$1,问卷数据!$BA:$BA,"&gt;0",问卷数据!$BA:$BA,"&lt;11"),2),"")</f>
        <v/>
      </c>
    </row>
    <row r="29" spans="1:3">
      <c r="A29" s="1" t="s">
        <v>107</v>
      </c>
      <c r="B29" s="1" t="str">
        <f>IFERROR(ROUND(AVERAGEIFS(问卷数据!$BC:$BC,问卷数据!$C:$C,$A$1,问卷数据!$BC:$BC,"&gt;0",问卷数据!$BC:$BC,"&lt;11"),2),"")</f>
        <v/>
      </c>
      <c r="C29" s="1" t="str">
        <f>IFERROR(ROUND(AVERAGEIFS(问卷数据!$BD:$BD,问卷数据!$C:$C,$A$1,问卷数据!$BD:$BD,"&gt;0",问卷数据!$BD:$BD,"&lt;11"),2),"")</f>
        <v/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问卷数据</vt:lpstr>
      <vt:lpstr>散客</vt:lpstr>
      <vt:lpstr>住宿团队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张奇进</cp:lastModifiedBy>
  <dcterms:created xsi:type="dcterms:W3CDTF">2025-02-23T15:34:00Z</dcterms:created>
  <dcterms:modified xsi:type="dcterms:W3CDTF">2026-04-08T12:36:48Z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B2F2EFF29B574FE38C974094D7ABC988_13</vt:lpwstr>
  </property>
  <property fmtid="{D5CDD505-2E9C-101B-9397-08002B2CF9AE}" pid="3" name="KSOProductBuildVer">
    <vt:lpwstr>2052-12.1.25205.25205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