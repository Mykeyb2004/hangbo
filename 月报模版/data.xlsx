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20" windowHeight="10740"/>
  </bookViews>
  <sheets>
    <sheet name="展览活动主（承）办" sheetId="2" r:id="rId1"/>
    <sheet name="参展商" sheetId="3" r:id="rId2"/>
    <sheet name="专业观众" sheetId="4" r:id="rId3"/>
    <sheet name="会展服务商" sheetId="5" r:id="rId4"/>
    <sheet name="会议活动主（承）办" sheetId="6" r:id="rId5"/>
    <sheet name="参会人员" sheetId="7" r:id="rId6"/>
    <sheet name="商务简餐" sheetId="8" r:id="rId7"/>
    <sheet name="特色美食廊" sheetId="9" r:id="rId8"/>
    <sheet name="宴会" sheetId="10" r:id="rId9"/>
    <sheet name="婚宴" sheetId="11" r:id="rId10"/>
    <sheet name="自助餐" sheetId="12" r:id="rId11"/>
    <sheet name="旅行社工作人员" sheetId="13" r:id="rId12"/>
    <sheet name="游客" sheetId="14" r:id="rId13"/>
    <sheet name="散客" sheetId="15" r:id="rId14"/>
    <sheet name="住宿团队" sheetId="16" r:id="rId15"/>
    <sheet name="酒店会议活动主（承）办" sheetId="17" r:id="rId16"/>
    <sheet name="酒店参会客户" sheetId="18" r:id="rId17"/>
    <sheet name="餐饮客户" sheetId="19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eetMetadata" Target="metadata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6.xml"/><Relationship Id="rId23" Type="http://schemas.openxmlformats.org/officeDocument/2006/relationships/externalLink" Target="externalLinks/externalLink5.xml"/><Relationship Id="rId22" Type="http://schemas.openxmlformats.org/officeDocument/2006/relationships/externalLink" Target="externalLinks/externalLink4.xml"/><Relationship Id="rId21" Type="http://schemas.openxmlformats.org/officeDocument/2006/relationships/externalLink" Target="externalLinks/externalLink3.xml"/><Relationship Id="rId20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&#23637;&#35272;&#36807;&#31243;&#20998;&#26512;(&#23637;&#35272;&#20027;&#25215;&#21150;+&#21442;&#23637;&#21830;+&#19987;&#19994;&#35266;&#20247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.&#20250;&#23637;&#26381;&#21153;&#21830;&#36807;&#31243;&#20998;&#2651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20250;&#35758;&#36807;&#31243;&#20998;&#2651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39184;&#39278;&#36807;&#31243;&#20998;&#2651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53;&#28216;&#36807;&#31243;&#20998;&#26512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37202;&#24215;&#36807;&#31243;&#20998;&#265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问卷数据"/>
      <sheetName val="展览主承办"/>
      <sheetName val="参展商"/>
      <sheetName val="专业观众"/>
      <sheetName val="Sheet1"/>
    </sheetNames>
    <sheetDataSet>
      <sheetData sheetId="0"/>
      <sheetData sheetId="1">
        <row r="41">
          <cell r="B41" t="str">
            <v>指标</v>
          </cell>
          <cell r="C41" t="str">
            <v>会展服务</v>
          </cell>
          <cell r="D41" t="str">
            <v>硬件设施</v>
          </cell>
          <cell r="E41" t="str">
            <v>配套服务</v>
          </cell>
          <cell r="F41" t="str">
            <v>智慧场馆</v>
          </cell>
        </row>
        <row r="42">
          <cell r="B42" t="str">
            <v>满意度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</row>
        <row r="43">
          <cell r="B43" t="str">
            <v>重要性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</row>
      </sheetData>
      <sheetData sheetId="2">
        <row r="30">
          <cell r="B30" t="str">
            <v>指标</v>
          </cell>
          <cell r="C30" t="str">
            <v>会展服务</v>
          </cell>
          <cell r="D30" t="str">
            <v>硬件设施</v>
          </cell>
          <cell r="E30" t="str">
            <v>配套服务</v>
          </cell>
          <cell r="F30" t="str">
            <v>智慧场馆</v>
          </cell>
        </row>
        <row r="31">
          <cell r="B31" t="str">
            <v>满意度</v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</row>
        <row r="32">
          <cell r="B32" t="str">
            <v>重要性</v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</row>
      </sheetData>
      <sheetData sheetId="3">
        <row r="31">
          <cell r="B31" t="str">
            <v>指标</v>
          </cell>
          <cell r="C31" t="str">
            <v>会展服务</v>
          </cell>
          <cell r="D31" t="str">
            <v>硬件设施</v>
          </cell>
          <cell r="E31" t="str">
            <v>配套服务</v>
          </cell>
          <cell r="F31" t="str">
            <v>智慧场馆</v>
          </cell>
        </row>
        <row r="32">
          <cell r="B32" t="str">
            <v>满意度</v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</row>
        <row r="33">
          <cell r="B33" t="str">
            <v>重要性</v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数据"/>
      <sheetName val="会展服务商"/>
    </sheetNames>
    <sheetDataSet>
      <sheetData sheetId="0"/>
      <sheetData sheetId="1">
        <row r="41">
          <cell r="B41" t="str">
            <v>指标</v>
          </cell>
          <cell r="C41" t="str">
            <v>会展服务</v>
          </cell>
          <cell r="D41" t="str">
            <v>硬件设施</v>
          </cell>
          <cell r="E41" t="str">
            <v>配套服务</v>
          </cell>
          <cell r="F41" t="str">
            <v>智慧场馆</v>
          </cell>
        </row>
        <row r="42">
          <cell r="B42" t="str">
            <v>满意度</v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</row>
        <row r="43">
          <cell r="B43" t="str">
            <v>重要性</v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问卷数据"/>
      <sheetName val="参会 会议主承办 酒店会议主承办"/>
      <sheetName val="Sheet1"/>
    </sheetNames>
    <sheetDataSet>
      <sheetData sheetId="0"/>
      <sheetData sheetId="1">
        <row r="34">
          <cell r="C34" t="str">
            <v>指标</v>
          </cell>
          <cell r="D34" t="str">
            <v>会展服务</v>
          </cell>
          <cell r="E34" t="str">
            <v>硬件设施</v>
          </cell>
          <cell r="F34" t="str">
            <v>配套服务</v>
          </cell>
          <cell r="G34" t="str">
            <v>智慧场馆</v>
          </cell>
        </row>
        <row r="35">
          <cell r="C35" t="str">
            <v>满意度</v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</row>
        <row r="36">
          <cell r="C36" t="str">
            <v>重要性</v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</row>
        <row r="45">
          <cell r="K45" t="str">
            <v>指标</v>
          </cell>
          <cell r="L45" t="str">
            <v>会展服务</v>
          </cell>
          <cell r="M45" t="str">
            <v>硬件设施</v>
          </cell>
          <cell r="N45" t="str">
            <v>配套服务</v>
          </cell>
          <cell r="O45" t="str">
            <v>智慧场馆</v>
          </cell>
        </row>
        <row r="45">
          <cell r="Q45" t="str">
            <v>指标</v>
          </cell>
          <cell r="R45" t="str">
            <v>会展服务</v>
          </cell>
          <cell r="S45" t="str">
            <v>硬件设施</v>
          </cell>
          <cell r="T45" t="str">
            <v>配套服务</v>
          </cell>
          <cell r="U45" t="str">
            <v>智慧场馆</v>
          </cell>
        </row>
        <row r="45">
          <cell r="X45" t="str">
            <v>指标</v>
          </cell>
          <cell r="Y45" t="str">
            <v>会展服务</v>
          </cell>
          <cell r="Z45" t="str">
            <v>硬件设施</v>
          </cell>
          <cell r="AA45" t="str">
            <v>配套服务</v>
          </cell>
          <cell r="AB45" t="str">
            <v>智慧场馆</v>
          </cell>
        </row>
        <row r="46">
          <cell r="K46" t="str">
            <v>满意度</v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</row>
        <row r="46">
          <cell r="Q46" t="str">
            <v>满意度</v>
          </cell>
          <cell r="R46" t="str">
            <v/>
          </cell>
          <cell r="S46" t="str">
            <v/>
          </cell>
          <cell r="T46" t="str">
            <v/>
          </cell>
        </row>
        <row r="46">
          <cell r="X46" t="str">
            <v>满意度</v>
          </cell>
          <cell r="Y46" t="str">
            <v/>
          </cell>
          <cell r="Z46" t="str">
            <v/>
          </cell>
          <cell r="AA46" t="str">
            <v/>
          </cell>
          <cell r="AB46">
            <v>0</v>
          </cell>
        </row>
        <row r="47">
          <cell r="K47" t="str">
            <v>重要性</v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</row>
        <row r="47">
          <cell r="Q47" t="str">
            <v>重要性</v>
          </cell>
          <cell r="R47" t="str">
            <v/>
          </cell>
          <cell r="S47" t="str">
            <v/>
          </cell>
          <cell r="T47" t="str">
            <v/>
          </cell>
        </row>
        <row r="47">
          <cell r="X47" t="str">
            <v>重要性</v>
          </cell>
          <cell r="Y47" t="str">
            <v/>
          </cell>
          <cell r="Z47" t="str">
            <v/>
          </cell>
          <cell r="AA47" t="str">
            <v/>
          </cell>
          <cell r="AB47">
            <v>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问卷数据"/>
      <sheetName val="特色美食廊"/>
      <sheetName val="商务简餐"/>
      <sheetName val="宴会"/>
      <sheetName val="婚宴"/>
      <sheetName val="自助餐"/>
      <sheetName val="酒店宴会"/>
      <sheetName val="酒店自助餐"/>
      <sheetName val="Sheet1"/>
    </sheetNames>
    <sheetDataSet>
      <sheetData sheetId="0"/>
      <sheetData sheetId="1">
        <row r="27">
          <cell r="B27" t="str">
            <v>指标</v>
          </cell>
          <cell r="C27" t="str">
            <v>餐饮服务</v>
          </cell>
          <cell r="D27" t="str">
            <v>硬件设施</v>
          </cell>
          <cell r="E27" t="str">
            <v>智慧场馆</v>
          </cell>
        </row>
        <row r="28">
          <cell r="B28" t="str">
            <v>满意度</v>
          </cell>
          <cell r="C28" t="str">
            <v/>
          </cell>
          <cell r="D28" t="str">
            <v/>
          </cell>
          <cell r="E28" t="str">
            <v/>
          </cell>
        </row>
        <row r="29">
          <cell r="B29" t="str">
            <v>重要性</v>
          </cell>
          <cell r="C29" t="str">
            <v/>
          </cell>
          <cell r="D29" t="str">
            <v/>
          </cell>
          <cell r="E29" t="str">
            <v/>
          </cell>
        </row>
      </sheetData>
      <sheetData sheetId="2">
        <row r="24">
          <cell r="C24" t="str">
            <v>指标</v>
          </cell>
          <cell r="D24" t="str">
            <v>餐饮服务</v>
          </cell>
          <cell r="E24" t="str">
            <v>硬件设施</v>
          </cell>
          <cell r="F24" t="str">
            <v>智慧场馆</v>
          </cell>
        </row>
        <row r="25">
          <cell r="C25" t="str">
            <v>满意度</v>
          </cell>
          <cell r="D25" t="str">
            <v/>
          </cell>
          <cell r="E25" t="str">
            <v/>
          </cell>
          <cell r="F25" t="str">
            <v/>
          </cell>
        </row>
        <row r="26">
          <cell r="C26" t="str">
            <v>重要性</v>
          </cell>
          <cell r="D26" t="str">
            <v/>
          </cell>
          <cell r="E26" t="str">
            <v/>
          </cell>
          <cell r="F26" t="str">
            <v/>
          </cell>
        </row>
      </sheetData>
      <sheetData sheetId="3">
        <row r="28">
          <cell r="C28" t="str">
            <v>指标</v>
          </cell>
          <cell r="D28" t="str">
            <v>餐饮服务</v>
          </cell>
          <cell r="E28" t="str">
            <v>硬件设施</v>
          </cell>
          <cell r="F28" t="str">
            <v>智慧场馆</v>
          </cell>
        </row>
        <row r="29">
          <cell r="C29" t="str">
            <v>满意度</v>
          </cell>
          <cell r="D29" t="str">
            <v/>
          </cell>
          <cell r="E29" t="str">
            <v/>
          </cell>
          <cell r="F29" t="str">
            <v/>
          </cell>
        </row>
        <row r="30">
          <cell r="C30" t="str">
            <v>重要性</v>
          </cell>
          <cell r="D30" t="str">
            <v/>
          </cell>
          <cell r="E30" t="str">
            <v/>
          </cell>
          <cell r="F30" t="str">
            <v/>
          </cell>
        </row>
      </sheetData>
      <sheetData sheetId="4">
        <row r="30">
          <cell r="C30" t="str">
            <v>指标</v>
          </cell>
          <cell r="D30" t="str">
            <v>餐饮服务</v>
          </cell>
          <cell r="E30" t="str">
            <v>硬件设施</v>
          </cell>
          <cell r="F30" t="str">
            <v>智慧场馆</v>
          </cell>
        </row>
        <row r="31">
          <cell r="C31" t="str">
            <v>满意度</v>
          </cell>
          <cell r="D31" t="str">
            <v/>
          </cell>
          <cell r="E31" t="str">
            <v/>
          </cell>
          <cell r="F31" t="str">
            <v/>
          </cell>
        </row>
        <row r="32">
          <cell r="C32" t="str">
            <v>重要性</v>
          </cell>
          <cell r="D32" t="str">
            <v/>
          </cell>
          <cell r="E32" t="str">
            <v/>
          </cell>
          <cell r="F32" t="str">
            <v/>
          </cell>
        </row>
      </sheetData>
      <sheetData sheetId="5">
        <row r="25">
          <cell r="C25" t="str">
            <v>指标</v>
          </cell>
          <cell r="D25" t="str">
            <v>餐饮服务</v>
          </cell>
          <cell r="E25" t="str">
            <v>硬件设施</v>
          </cell>
          <cell r="F25" t="str">
            <v>智慧场馆</v>
          </cell>
        </row>
        <row r="26">
          <cell r="C26" t="str">
            <v>满意度</v>
          </cell>
          <cell r="D26" t="str">
            <v/>
          </cell>
          <cell r="E26" t="str">
            <v/>
          </cell>
          <cell r="F26" t="str">
            <v/>
          </cell>
        </row>
        <row r="27">
          <cell r="C27" t="str">
            <v>重要性</v>
          </cell>
          <cell r="D27" t="str">
            <v/>
          </cell>
          <cell r="E27" t="str">
            <v/>
          </cell>
          <cell r="F27" t="str">
            <v/>
          </cell>
        </row>
      </sheetData>
      <sheetData sheetId="6"/>
      <sheetData sheetId="7">
        <row r="27">
          <cell r="I27" t="str">
            <v>指标</v>
          </cell>
          <cell r="J27" t="str">
            <v>餐饮服务</v>
          </cell>
          <cell r="K27" t="str">
            <v>硬件设施</v>
          </cell>
          <cell r="L27" t="str">
            <v>智慧场馆</v>
          </cell>
        </row>
        <row r="28">
          <cell r="I28" t="str">
            <v>满意度</v>
          </cell>
          <cell r="J28" t="str">
            <v/>
          </cell>
          <cell r="K28" t="str">
            <v/>
          </cell>
          <cell r="L28" t="str">
            <v/>
          </cell>
        </row>
        <row r="29">
          <cell r="I29" t="str">
            <v>重要性</v>
          </cell>
          <cell r="J29" t="str">
            <v/>
          </cell>
          <cell r="K29" t="str">
            <v/>
          </cell>
          <cell r="L29" t="str">
            <v/>
          </cell>
        </row>
      </sheetData>
      <sheetData sheetId="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问卷数据"/>
      <sheetName val="散客及旅行社工作人员"/>
    </sheetNames>
    <sheetDataSet>
      <sheetData sheetId="0"/>
      <sheetData sheetId="1">
        <row r="24">
          <cell r="J24" t="str">
            <v>指标</v>
          </cell>
          <cell r="K24" t="str">
            <v>旅游服务</v>
          </cell>
          <cell r="L24" t="str">
            <v>硬件设施</v>
          </cell>
          <cell r="M24" t="str">
            <v>智慧服务</v>
          </cell>
        </row>
        <row r="25">
          <cell r="C25" t="str">
            <v>指标</v>
          </cell>
          <cell r="D25" t="str">
            <v>旅游服务</v>
          </cell>
          <cell r="E25" t="str">
            <v>硬件设施</v>
          </cell>
          <cell r="F25" t="str">
            <v>智慧服务</v>
          </cell>
        </row>
        <row r="25">
          <cell r="J25" t="str">
            <v>满意度</v>
          </cell>
          <cell r="K25" t="str">
            <v/>
          </cell>
          <cell r="L25" t="str">
            <v/>
          </cell>
          <cell r="M25" t="str">
            <v/>
          </cell>
        </row>
        <row r="26">
          <cell r="C26" t="str">
            <v>满意度</v>
          </cell>
          <cell r="D26" t="str">
            <v/>
          </cell>
          <cell r="E26" t="str">
            <v/>
          </cell>
          <cell r="F26" t="str">
            <v/>
          </cell>
        </row>
        <row r="26">
          <cell r="J26" t="str">
            <v>重要性</v>
          </cell>
          <cell r="K26" t="str">
            <v/>
          </cell>
          <cell r="L26" t="str">
            <v/>
          </cell>
          <cell r="M26" t="str">
            <v/>
          </cell>
        </row>
        <row r="27">
          <cell r="C27" t="str">
            <v>重要性</v>
          </cell>
          <cell r="D27" t="str">
            <v/>
          </cell>
          <cell r="E27" t="str">
            <v/>
          </cell>
          <cell r="F27" t="str">
            <v/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问卷数据"/>
      <sheetName val="酒店散客 住宿团队"/>
      <sheetName val="Sheet1"/>
    </sheetNames>
    <sheetDataSet>
      <sheetData sheetId="0"/>
      <sheetData sheetId="1">
        <row r="36">
          <cell r="B36" t="str">
            <v>指标</v>
          </cell>
          <cell r="C36" t="str">
            <v>入住服务</v>
          </cell>
          <cell r="D36" t="str">
            <v>硬件设施</v>
          </cell>
          <cell r="E36" t="str">
            <v>餐饮服务</v>
          </cell>
          <cell r="F36" t="str">
            <v>智慧场馆</v>
          </cell>
        </row>
        <row r="36">
          <cell r="K36" t="str">
            <v>指标</v>
          </cell>
          <cell r="L36" t="str">
            <v>入住服务</v>
          </cell>
          <cell r="M36" t="str">
            <v>硬件设施</v>
          </cell>
          <cell r="N36" t="str">
            <v>餐饮服务</v>
          </cell>
          <cell r="O36" t="str">
            <v>智慧场馆</v>
          </cell>
        </row>
        <row r="37">
          <cell r="B37" t="str">
            <v>满意度</v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</row>
        <row r="37">
          <cell r="K37" t="str">
            <v>满意度</v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</row>
        <row r="38">
          <cell r="B38" t="str">
            <v>重要性</v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</row>
        <row r="38">
          <cell r="K38" t="str">
            <v>重要性</v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3"/>
  <sheetViews>
    <sheetView tabSelected="1" workbookViewId="0">
      <selection activeCell="A1" sqref="A1"/>
    </sheetView>
  </sheetViews>
  <sheetFormatPr defaultColWidth="11" defaultRowHeight="17.6" outlineLevelRow="2" outlineLevelCol="4"/>
  <sheetData>
    <row r="1" spans="1:5">
      <c r="A1" t="str" cm="1">
        <f t="array" ref="A1:E3">[1]展览主承办!$B$41:$F$43</f>
        <v>指标</v>
      </c>
      <c r="B1" t="str">
        <v>会展服务</v>
      </c>
      <c r="C1" t="str">
        <v>硬件设施</v>
      </c>
      <c r="D1" t="str">
        <v>配套服务</v>
      </c>
      <c r="E1" t="str">
        <v>智慧场馆</v>
      </c>
    </row>
    <row r="2" spans="1:5">
      <c r="A2" t="str">
        <v>满意度</v>
      </c>
      <c r="B2" t="str">
        <v/>
      </c>
      <c r="C2" t="str">
        <v/>
      </c>
      <c r="D2" t="str">
        <v/>
      </c>
      <c r="E2" t="str">
        <v/>
      </c>
    </row>
    <row r="3" spans="1:5">
      <c r="A3" t="str">
        <v>重要性</v>
      </c>
      <c r="B3" t="str">
        <v/>
      </c>
      <c r="C3" t="str">
        <v/>
      </c>
      <c r="D3" t="str">
        <v/>
      </c>
      <c r="E3" t="str">
        <v/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"/>
  <sheetViews>
    <sheetView workbookViewId="0">
      <selection activeCell="A2" sqref="A2"/>
    </sheetView>
  </sheetViews>
  <sheetFormatPr defaultColWidth="11" defaultRowHeight="17.6" outlineLevelRow="2" outlineLevelCol="4"/>
  <sheetData>
    <row r="1" spans="1:5">
      <c r="A1" t="str" cm="1">
        <f t="array" ref="A1:E3">[1]参展商!$B$30:$F$32</f>
        <v>指标</v>
      </c>
      <c r="B1" t="str">
        <v>会展服务</v>
      </c>
      <c r="C1" t="str">
        <v>硬件设施</v>
      </c>
      <c r="D1" t="str">
        <v>配套服务</v>
      </c>
      <c r="E1" t="str">
        <v>智慧场馆</v>
      </c>
    </row>
    <row r="2" spans="1:5">
      <c r="A2" t="str">
        <v>满意度</v>
      </c>
      <c r="B2" t="str">
        <v/>
      </c>
      <c r="C2" t="str">
        <v/>
      </c>
      <c r="D2" t="str">
        <v/>
      </c>
      <c r="E2" t="str">
        <v/>
      </c>
    </row>
    <row r="3" spans="1:5">
      <c r="A3" t="str">
        <v>重要性</v>
      </c>
      <c r="B3" t="str">
        <v/>
      </c>
      <c r="C3" t="str">
        <v/>
      </c>
      <c r="D3" t="str">
        <v/>
      </c>
      <c r="E3" t="str">
        <v/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3"/>
  <sheetViews>
    <sheetView workbookViewId="0">
      <selection activeCell="A1" sqref="A1"/>
    </sheetView>
  </sheetViews>
  <sheetFormatPr defaultColWidth="11" defaultRowHeight="17.6" outlineLevelRow="2" outlineLevelCol="4"/>
  <sheetData>
    <row r="1" spans="1:5">
      <c r="A1" t="str" cm="1">
        <f t="array" ref="A1:E3">[1]专业观众!$B$31:$F$33</f>
        <v>指标</v>
      </c>
      <c r="B1" t="str">
        <v>会展服务</v>
      </c>
      <c r="C1" t="str">
        <v>硬件设施</v>
      </c>
      <c r="D1" t="str">
        <v>配套服务</v>
      </c>
      <c r="E1" t="str">
        <v>智慧场馆</v>
      </c>
    </row>
    <row r="2" spans="1:5">
      <c r="A2" t="str">
        <v>满意度</v>
      </c>
      <c r="B2" t="str">
        <v/>
      </c>
      <c r="C2" t="str">
        <v/>
      </c>
      <c r="D2" t="str">
        <v/>
      </c>
      <c r="E2" t="str">
        <v/>
      </c>
    </row>
    <row r="3" spans="1:5">
      <c r="A3" t="str">
        <v>重要性</v>
      </c>
      <c r="B3" t="str">
        <v/>
      </c>
      <c r="C3" t="str">
        <v/>
      </c>
      <c r="D3" t="str">
        <v/>
      </c>
      <c r="E3" t="str">
        <v/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3"/>
  <sheetViews>
    <sheetView zoomScale="203" zoomScaleNormal="203" workbookViewId="0">
      <selection activeCell="A1" sqref="A1"/>
    </sheetView>
  </sheetViews>
  <sheetFormatPr defaultColWidth="11" defaultRowHeight="17.6" outlineLevelRow="2" outlineLevelCol="4"/>
  <sheetData>
    <row r="1" spans="1:5">
      <c r="A1" t="str" cm="1">
        <f t="array" ref="A1:E3">[2]会展服务商!$B$41:$F$43</f>
        <v>指标</v>
      </c>
      <c r="B1" t="str">
        <v>会展服务</v>
      </c>
      <c r="C1" t="str">
        <v>硬件设施</v>
      </c>
      <c r="D1" t="str">
        <v>配套服务</v>
      </c>
      <c r="E1" t="str">
        <v>智慧场馆</v>
      </c>
    </row>
    <row r="2" spans="1:5">
      <c r="A2" t="str">
        <v>满意度</v>
      </c>
      <c r="B2" t="str">
        <v/>
      </c>
      <c r="C2" t="str">
        <v/>
      </c>
      <c r="D2" t="str">
        <v/>
      </c>
      <c r="E2" t="str">
        <v/>
      </c>
    </row>
    <row r="3" spans="1:5">
      <c r="A3" t="str">
        <v>重要性</v>
      </c>
      <c r="B3" t="str">
        <v/>
      </c>
      <c r="C3" t="str">
        <v/>
      </c>
      <c r="D3" t="str">
        <v/>
      </c>
      <c r="E3" t="str">
        <v/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E3"/>
  <sheetViews>
    <sheetView workbookViewId="0">
      <selection activeCell="A1" sqref="A1"/>
    </sheetView>
  </sheetViews>
  <sheetFormatPr defaultColWidth="11" defaultRowHeight="17.6" outlineLevelRow="2" outlineLevelCol="4"/>
  <sheetData>
    <row r="1" spans="1:5">
      <c r="A1" t="str" cm="1">
        <f t="array" ref="A1:E3">'[3]参会 会议主承办 酒店会议主承办'!$K$45:$O$47</f>
        <v>指标</v>
      </c>
      <c r="B1" t="str">
        <v>会展服务</v>
      </c>
      <c r="C1" t="str">
        <v>硬件设施</v>
      </c>
      <c r="D1" t="str">
        <v>配套服务</v>
      </c>
      <c r="E1" t="str">
        <v>智慧场馆</v>
      </c>
    </row>
    <row r="2" spans="1:5">
      <c r="A2" t="str">
        <v>满意度</v>
      </c>
      <c r="B2" t="str">
        <v/>
      </c>
      <c r="C2" t="str">
        <v/>
      </c>
      <c r="D2" t="str">
        <v/>
      </c>
      <c r="E2" t="str">
        <v/>
      </c>
    </row>
    <row r="3" spans="1:5">
      <c r="A3" t="str">
        <v>重要性</v>
      </c>
      <c r="B3" t="str">
        <v/>
      </c>
      <c r="C3" t="str">
        <v/>
      </c>
      <c r="D3" t="str">
        <v/>
      </c>
      <c r="E3" t="str">
        <v/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E3"/>
  <sheetViews>
    <sheetView workbookViewId="0">
      <selection activeCell="A1" sqref="A1"/>
    </sheetView>
  </sheetViews>
  <sheetFormatPr defaultColWidth="11" defaultRowHeight="17.6" outlineLevelRow="2" outlineLevelCol="4"/>
  <sheetData>
    <row r="1" spans="1:5">
      <c r="A1" t="str" cm="1">
        <f t="array" ref="A1:E3">'[3]参会 会议主承办 酒店会议主承办'!$C$34:$G$36</f>
        <v>指标</v>
      </c>
      <c r="B1" t="str">
        <v>会展服务</v>
      </c>
      <c r="C1" t="str">
        <v>硬件设施</v>
      </c>
      <c r="D1" t="str">
        <v>配套服务</v>
      </c>
      <c r="E1" t="str">
        <v>智慧场馆</v>
      </c>
    </row>
    <row r="2" spans="1:5">
      <c r="A2" t="str">
        <v>满意度</v>
      </c>
      <c r="B2" t="str">
        <v/>
      </c>
      <c r="C2" t="str">
        <v/>
      </c>
      <c r="D2" t="str">
        <v/>
      </c>
      <c r="E2" t="str">
        <v/>
      </c>
    </row>
    <row r="3" spans="1:5">
      <c r="A3" t="str">
        <v>重要性</v>
      </c>
      <c r="B3" t="str">
        <v/>
      </c>
      <c r="C3" t="str">
        <v/>
      </c>
      <c r="D3" t="str">
        <v/>
      </c>
      <c r="E3" t="str">
        <v/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D3"/>
  <sheetViews>
    <sheetView workbookViewId="0">
      <selection activeCell="A1" sqref="A1"/>
    </sheetView>
  </sheetViews>
  <sheetFormatPr defaultColWidth="11" defaultRowHeight="17.6" outlineLevelRow="2" outlineLevelCol="3"/>
  <sheetData>
    <row r="1" spans="1:4">
      <c r="A1" t="str" cm="1">
        <f t="array" ref="A1:D3">[4]商务简餐!$C$24:$F$26</f>
        <v>指标</v>
      </c>
      <c r="B1" t="str">
        <v>餐饮服务</v>
      </c>
      <c r="C1" t="str">
        <v>硬件设施</v>
      </c>
      <c r="D1" t="str">
        <v>智慧场馆</v>
      </c>
    </row>
    <row r="2" spans="1:4">
      <c r="A2" t="str">
        <v>满意度</v>
      </c>
      <c r="B2" t="str">
        <v/>
      </c>
      <c r="C2" t="str">
        <v/>
      </c>
      <c r="D2" t="str">
        <v/>
      </c>
    </row>
    <row r="3" spans="1:4">
      <c r="A3" t="str">
        <v>重要性</v>
      </c>
      <c r="B3" t="str">
        <v/>
      </c>
      <c r="C3" t="str">
        <v/>
      </c>
      <c r="D3" t="str">
        <v/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D3"/>
  <sheetViews>
    <sheetView workbookViewId="0">
      <selection activeCell="A1" sqref="A$1:A$1048576"/>
    </sheetView>
  </sheetViews>
  <sheetFormatPr defaultColWidth="11" defaultRowHeight="17.6" outlineLevelRow="2" outlineLevelCol="3"/>
  <sheetData>
    <row r="1" spans="1:4">
      <c r="A1" t="str" cm="1">
        <f t="array" ref="A1:D3">[4]特色美食廊!$B$27:$E$29</f>
        <v>指标</v>
      </c>
      <c r="B1" t="str">
        <v>餐饮服务</v>
      </c>
      <c r="C1" t="str">
        <v>硬件设施</v>
      </c>
      <c r="D1" t="str">
        <v>智慧场馆</v>
      </c>
    </row>
    <row r="2" spans="1:4">
      <c r="A2" t="str">
        <v>满意度</v>
      </c>
      <c r="B2" t="str">
        <v/>
      </c>
      <c r="C2" t="str">
        <v/>
      </c>
      <c r="D2" t="str">
        <v/>
      </c>
    </row>
    <row r="3" spans="1:4">
      <c r="A3" t="str">
        <v>重要性</v>
      </c>
      <c r="B3" t="str">
        <v/>
      </c>
      <c r="C3" t="str">
        <v/>
      </c>
      <c r="D3" t="str">
        <v/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D3"/>
  <sheetViews>
    <sheetView workbookViewId="0">
      <selection activeCell="A1" sqref="A1"/>
    </sheetView>
  </sheetViews>
  <sheetFormatPr defaultColWidth="11" defaultRowHeight="17.6" outlineLevelRow="2" outlineLevelCol="3"/>
  <sheetData>
    <row r="1" spans="1:4">
      <c r="A1" t="str" cm="1">
        <f t="array" ref="A1:D3">[4]宴会!$C$28:$F$30</f>
        <v>指标</v>
      </c>
      <c r="B1" t="str">
        <v>餐饮服务</v>
      </c>
      <c r="C1" t="str">
        <v>硬件设施</v>
      </c>
      <c r="D1" t="str">
        <v>智慧场馆</v>
      </c>
    </row>
    <row r="2" spans="1:4">
      <c r="A2" t="str">
        <v>满意度</v>
      </c>
      <c r="B2" t="str">
        <v/>
      </c>
      <c r="C2" t="str">
        <v/>
      </c>
      <c r="D2" t="str">
        <v/>
      </c>
    </row>
    <row r="3" spans="1:4">
      <c r="A3" t="str">
        <v>重要性</v>
      </c>
      <c r="B3" t="str">
        <v/>
      </c>
      <c r="C3" t="str">
        <v/>
      </c>
      <c r="D3" t="str">
        <v/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D3"/>
  <sheetViews>
    <sheetView workbookViewId="0">
      <selection activeCell="A1" sqref="A1"/>
    </sheetView>
  </sheetViews>
  <sheetFormatPr defaultColWidth="11" defaultRowHeight="17.6" outlineLevelRow="2" outlineLevelCol="3"/>
  <sheetData>
    <row r="1" spans="1:4">
      <c r="A1" t="str" cm="1">
        <f t="array" ref="A1:D3">[4]婚宴!$C$30:$F$32</f>
        <v>指标</v>
      </c>
      <c r="B1" t="str">
        <v>餐饮服务</v>
      </c>
      <c r="C1" t="str">
        <v>硬件设施</v>
      </c>
      <c r="D1" t="str">
        <v>智慧场馆</v>
      </c>
    </row>
    <row r="2" spans="1:4">
      <c r="A2" t="str">
        <v>满意度</v>
      </c>
      <c r="B2" t="str">
        <v/>
      </c>
      <c r="C2" t="str">
        <v/>
      </c>
      <c r="D2" t="str">
        <v/>
      </c>
    </row>
    <row r="3" spans="1:4">
      <c r="A3" t="str">
        <v>重要性</v>
      </c>
      <c r="B3" t="str">
        <v/>
      </c>
      <c r="C3" t="str">
        <v/>
      </c>
      <c r="D3" t="str">
        <v/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D3"/>
  <sheetViews>
    <sheetView workbookViewId="0">
      <selection activeCell="A1" sqref="A1"/>
    </sheetView>
  </sheetViews>
  <sheetFormatPr defaultColWidth="11" defaultRowHeight="17.6" outlineLevelRow="2" outlineLevelCol="3"/>
  <sheetData>
    <row r="1" spans="1:4">
      <c r="A1" t="str" cm="1">
        <f t="array" ref="A1:D3">[4]自助餐!$C$25:$F$27</f>
        <v>指标</v>
      </c>
      <c r="B1" t="str">
        <v>餐饮服务</v>
      </c>
      <c r="C1" t="str">
        <v>硬件设施</v>
      </c>
      <c r="D1" t="str">
        <v>智慧场馆</v>
      </c>
    </row>
    <row r="2" spans="1:4">
      <c r="A2" t="str">
        <v>满意度</v>
      </c>
      <c r="B2" t="str">
        <v/>
      </c>
      <c r="C2" t="str">
        <v/>
      </c>
      <c r="D2" t="str">
        <v/>
      </c>
    </row>
    <row r="3" spans="1:4">
      <c r="A3" t="str">
        <v>重要性</v>
      </c>
      <c r="B3" t="str">
        <v/>
      </c>
      <c r="C3" t="str">
        <v/>
      </c>
      <c r="D3" t="str">
        <v/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D3"/>
  <sheetViews>
    <sheetView workbookViewId="0">
      <selection activeCell="A1" sqref="A1"/>
    </sheetView>
  </sheetViews>
  <sheetFormatPr defaultColWidth="11" defaultRowHeight="17.6" outlineLevelRow="2" outlineLevelCol="3"/>
  <sheetData>
    <row r="1" spans="1:4">
      <c r="A1" t="str" cm="1">
        <f t="array" ref="A1:D3">[5]散客及旅行社工作人员!$J$24:$M$26</f>
        <v>指标</v>
      </c>
      <c r="B1" t="str">
        <v>旅游服务</v>
      </c>
      <c r="C1" t="str">
        <v>硬件设施</v>
      </c>
      <c r="D1" t="str">
        <v>智慧服务</v>
      </c>
    </row>
    <row r="2" spans="1:4">
      <c r="A2" t="str">
        <v>满意度</v>
      </c>
      <c r="B2" t="str">
        <v/>
      </c>
      <c r="C2" t="str">
        <v/>
      </c>
      <c r="D2" t="str">
        <v/>
      </c>
    </row>
    <row r="3" spans="1:4">
      <c r="A3" t="str">
        <v>重要性</v>
      </c>
      <c r="B3" t="str">
        <v/>
      </c>
      <c r="C3" t="str">
        <v/>
      </c>
      <c r="D3" t="str">
        <v/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D3"/>
  <sheetViews>
    <sheetView workbookViewId="0">
      <selection activeCell="A1" sqref="A1"/>
    </sheetView>
  </sheetViews>
  <sheetFormatPr defaultColWidth="11" defaultRowHeight="17.6" outlineLevelRow="2" outlineLevelCol="3"/>
  <sheetData>
    <row r="1" spans="1:4">
      <c r="A1" t="str" cm="1">
        <f t="array" ref="A1:D3">[5]散客及旅行社工作人员!$C$25:$F$27</f>
        <v>指标</v>
      </c>
      <c r="B1" t="str">
        <v>旅游服务</v>
      </c>
      <c r="C1" t="str">
        <v>硬件设施</v>
      </c>
      <c r="D1" t="str">
        <v>智慧服务</v>
      </c>
    </row>
    <row r="2" spans="1:4">
      <c r="A2" t="str">
        <v>满意度</v>
      </c>
      <c r="B2" t="str">
        <v/>
      </c>
      <c r="C2" t="str">
        <v/>
      </c>
      <c r="D2" t="str">
        <v/>
      </c>
    </row>
    <row r="3" spans="1:4">
      <c r="A3" t="str">
        <v>重要性</v>
      </c>
      <c r="B3" t="str">
        <v/>
      </c>
      <c r="C3" t="str">
        <v/>
      </c>
      <c r="D3" t="str">
        <v/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E3"/>
  <sheetViews>
    <sheetView workbookViewId="0">
      <selection activeCell="A1" sqref="A1"/>
    </sheetView>
  </sheetViews>
  <sheetFormatPr defaultColWidth="11" defaultRowHeight="17.6" outlineLevelRow="2" outlineLevelCol="4"/>
  <sheetData>
    <row r="1" spans="1:5">
      <c r="A1" t="str" cm="1">
        <f t="array" ref="A1:E3">'[6]酒店散客 住宿团队'!$B$36:$F$38</f>
        <v>指标</v>
      </c>
      <c r="B1" t="str">
        <v>入住服务</v>
      </c>
      <c r="C1" t="str">
        <v>硬件设施</v>
      </c>
      <c r="D1" t="str">
        <v>餐饮服务</v>
      </c>
      <c r="E1" t="str">
        <v>智慧场馆</v>
      </c>
    </row>
    <row r="2" spans="1:5">
      <c r="A2" t="str">
        <v>满意度</v>
      </c>
      <c r="B2" t="str">
        <v/>
      </c>
      <c r="C2" t="str">
        <v/>
      </c>
      <c r="D2" t="str">
        <v/>
      </c>
      <c r="E2" t="str">
        <v/>
      </c>
    </row>
    <row r="3" spans="1:5">
      <c r="A3" t="str">
        <v>重要性</v>
      </c>
      <c r="B3" t="str">
        <v/>
      </c>
      <c r="C3" t="str">
        <v/>
      </c>
      <c r="D3" t="str">
        <v/>
      </c>
      <c r="E3" t="str">
        <v/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E3"/>
  <sheetViews>
    <sheetView workbookViewId="0">
      <selection activeCell="A1" sqref="A1"/>
    </sheetView>
  </sheetViews>
  <sheetFormatPr defaultColWidth="11" defaultRowHeight="17.6" outlineLevelRow="2" outlineLevelCol="4"/>
  <sheetData>
    <row r="1" spans="1:5">
      <c r="A1" t="str" cm="1">
        <f t="array" ref="A1:E3">'[6]酒店散客 住宿团队'!$K$36:$O$38</f>
        <v>指标</v>
      </c>
      <c r="B1" t="str">
        <v>入住服务</v>
      </c>
      <c r="C1" t="str">
        <v>硬件设施</v>
      </c>
      <c r="D1" t="str">
        <v>餐饮服务</v>
      </c>
      <c r="E1" t="str">
        <v>智慧场馆</v>
      </c>
    </row>
    <row r="2" spans="1:5">
      <c r="A2" t="str">
        <v>满意度</v>
      </c>
      <c r="B2" t="str">
        <v/>
      </c>
      <c r="C2" t="str">
        <v/>
      </c>
      <c r="D2" t="str">
        <v/>
      </c>
      <c r="E2" t="str">
        <v/>
      </c>
    </row>
    <row r="3" spans="1:5">
      <c r="A3" t="str">
        <v>重要性</v>
      </c>
      <c r="B3" t="str">
        <v/>
      </c>
      <c r="C3" t="str">
        <v/>
      </c>
      <c r="D3" t="str">
        <v/>
      </c>
      <c r="E3" t="str">
        <v/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E3"/>
  <sheetViews>
    <sheetView workbookViewId="0">
      <selection activeCell="A1" sqref="A1"/>
    </sheetView>
  </sheetViews>
  <sheetFormatPr defaultColWidth="11" defaultRowHeight="17.6" outlineLevelRow="2" outlineLevelCol="4"/>
  <sheetData>
    <row r="1" spans="1:5">
      <c r="A1" t="str" cm="1">
        <f t="array" ref="A1:E3">'[3]参会 会议主承办 酒店会议主承办'!$Q$45:$U$47</f>
        <v>指标</v>
      </c>
      <c r="B1" t="str">
        <v>会展服务</v>
      </c>
      <c r="C1" t="str">
        <v>硬件设施</v>
      </c>
      <c r="D1" t="str">
        <v>配套服务</v>
      </c>
      <c r="E1" t="str">
        <v>智慧场馆</v>
      </c>
    </row>
    <row r="2" spans="1:5">
      <c r="A2" t="str">
        <v>满意度</v>
      </c>
      <c r="B2" t="str">
        <v/>
      </c>
      <c r="C2" t="str">
        <v/>
      </c>
      <c r="D2" t="str">
        <v/>
      </c>
      <c r="E2">
        <v>0</v>
      </c>
    </row>
    <row r="3" spans="1:5">
      <c r="A3" t="str">
        <v>重要性</v>
      </c>
      <c r="B3" t="str">
        <v/>
      </c>
      <c r="C3" t="str">
        <v/>
      </c>
      <c r="D3" t="str">
        <v/>
      </c>
      <c r="E3">
        <v>0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E3"/>
  <sheetViews>
    <sheetView workbookViewId="0">
      <selection activeCell="A1" sqref="A1"/>
    </sheetView>
  </sheetViews>
  <sheetFormatPr defaultColWidth="11" defaultRowHeight="17.6" outlineLevelRow="2" outlineLevelCol="4"/>
  <sheetData>
    <row r="1" spans="1:5">
      <c r="A1" t="str" cm="1">
        <f t="array" ref="A1:E3">'[3]参会 会议主承办 酒店会议主承办'!$X$45:$AB$47</f>
        <v>指标</v>
      </c>
      <c r="B1" t="str">
        <v>会展服务</v>
      </c>
      <c r="C1" t="str">
        <v>硬件设施</v>
      </c>
      <c r="D1" t="str">
        <v>配套服务</v>
      </c>
      <c r="E1" t="str">
        <v>智慧场馆</v>
      </c>
    </row>
    <row r="2" spans="1:5">
      <c r="A2" t="str">
        <v>满意度</v>
      </c>
      <c r="B2" t="str">
        <v/>
      </c>
      <c r="C2" t="str">
        <v/>
      </c>
      <c r="D2" t="str">
        <v/>
      </c>
      <c r="E2">
        <v>0</v>
      </c>
    </row>
    <row r="3" spans="1:5">
      <c r="A3" t="str">
        <v>重要性</v>
      </c>
      <c r="B3" t="str">
        <v/>
      </c>
      <c r="C3" t="str">
        <v/>
      </c>
      <c r="D3" t="str">
        <v/>
      </c>
      <c r="E3">
        <v>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D3"/>
  <sheetViews>
    <sheetView workbookViewId="0">
      <selection activeCell="L8" sqref="L8"/>
    </sheetView>
  </sheetViews>
  <sheetFormatPr defaultColWidth="11" defaultRowHeight="17.6" outlineLevelRow="2" outlineLevelCol="3"/>
  <sheetData>
    <row r="1" spans="1:4">
      <c r="A1" t="str" cm="1">
        <f t="array" ref="A1:D3">[4]酒店自助餐!$I$27:$L$29</f>
        <v>指标</v>
      </c>
      <c r="B1" t="str">
        <v>餐饮服务</v>
      </c>
      <c r="C1" t="str">
        <v>硬件设施</v>
      </c>
      <c r="D1" t="str">
        <v>智慧场馆</v>
      </c>
    </row>
    <row r="2" spans="1:4">
      <c r="A2" t="str">
        <v>满意度</v>
      </c>
      <c r="B2" t="str">
        <v/>
      </c>
      <c r="C2" t="str">
        <v/>
      </c>
      <c r="D2" t="str">
        <v/>
      </c>
    </row>
    <row r="3" spans="1:4">
      <c r="A3" t="str">
        <v>重要性</v>
      </c>
      <c r="B3" t="str">
        <v/>
      </c>
      <c r="C3" t="str">
        <v/>
      </c>
      <c r="D3" t="str">
        <v/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展览活动主（承）办</vt:lpstr>
      <vt:lpstr>参展商</vt:lpstr>
      <vt:lpstr>专业观众</vt:lpstr>
      <vt:lpstr>会展服务商</vt:lpstr>
      <vt:lpstr>会议活动主（承）办</vt:lpstr>
      <vt:lpstr>参会人员</vt:lpstr>
      <vt:lpstr>商务简餐</vt:lpstr>
      <vt:lpstr>特色美食廊</vt:lpstr>
      <vt:lpstr>宴会</vt:lpstr>
      <vt:lpstr>婚宴</vt:lpstr>
      <vt:lpstr>自助餐</vt:lpstr>
      <vt:lpstr>旅行社工作人员</vt:lpstr>
      <vt:lpstr>游客</vt:lpstr>
      <vt:lpstr>散客</vt:lpstr>
      <vt:lpstr>住宿团队</vt:lpstr>
      <vt:lpstr>酒店会议活动主（承）办</vt:lpstr>
      <vt:lpstr>酒店参会客户</vt:lpstr>
      <vt:lpstr>餐饮客户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qw</cp:lastModifiedBy>
  <dcterms:created xsi:type="dcterms:W3CDTF">2026-03-05T12:50:00Z</dcterms:created>
  <dcterms:modified xsi:type="dcterms:W3CDTF">2026-03-06T12:46:56Z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C10BFBDE987BD235D2BFA76935C84A7F_42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