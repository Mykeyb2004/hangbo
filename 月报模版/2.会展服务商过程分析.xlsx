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qijin/PycharmProjects/hangbo/月报模版V1.0（数据+雷达图）/"/>
    </mc:Choice>
  </mc:AlternateContent>
  <xr:revisionPtr revIDLastSave="0" documentId="13_ncr:1_{EA3EFC11-C00A-264C-8C8C-90DAAF3CA9B4}" xr6:coauthVersionLast="47" xr6:coauthVersionMax="47" xr10:uidLastSave="{00000000-0000-0000-0000-000000000000}"/>
  <bookViews>
    <workbookView xWindow="9700" yWindow="4080" windowWidth="25860" windowHeight="16940" activeTab="1" xr2:uid="{00000000-000D-0000-FFFF-FFFF00000000}"/>
  </bookViews>
  <sheets>
    <sheet name="数据" sheetId="1" r:id="rId1"/>
    <sheet name="会展服务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2" l="1"/>
  <c r="B35" i="2"/>
  <c r="C34" i="2"/>
  <c r="B34" i="2"/>
  <c r="C33" i="2"/>
  <c r="B33" i="2"/>
  <c r="C32" i="2"/>
  <c r="B32" i="2"/>
  <c r="C30" i="2"/>
  <c r="B30" i="2"/>
  <c r="C29" i="2"/>
  <c r="B29" i="2"/>
  <c r="C28" i="2"/>
  <c r="B28" i="2"/>
  <c r="C27" i="2"/>
  <c r="B27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B31" i="2" l="1"/>
  <c r="C3" i="2"/>
  <c r="B3" i="2"/>
  <c r="C31" i="2"/>
  <c r="B17" i="2"/>
  <c r="C17" i="2"/>
  <c r="B26" i="2"/>
  <c r="C26" i="2"/>
  <c r="C1" i="2"/>
  <c r="B1" i="2" l="1"/>
</calcChain>
</file>

<file path=xl/sharedStrings.xml><?xml version="1.0" encoding="utf-8"?>
<sst xmlns="http://schemas.openxmlformats.org/spreadsheetml/2006/main" count="123" uniqueCount="123">
  <si>
    <t>提交序号</t>
  </si>
  <si>
    <t>状态</t>
  </si>
  <si>
    <t>Q1-会议/展览活动名称</t>
  </si>
  <si>
    <t>Q2-您在展览中的身份</t>
  </si>
  <si>
    <t>Q3-在杭州国际博览中心第几次提供服务</t>
  </si>
  <si>
    <t>Q4-您的性别</t>
  </si>
  <si>
    <t>Q5-您的年龄</t>
  </si>
  <si>
    <t>Q8-请问您对杭州国际博览中心的交通便利性评价？请用1-10分打分。-外部交通，容易到达(满意度)</t>
  </si>
  <si>
    <t>Q8-请问您对杭州国际博览中心的交通便利性评价？请用1-10分打分。-外部交通，容易到达(重要性)</t>
  </si>
  <si>
    <t>Q8-请问您对杭州国际博览中心的交通便利性评价？请用1-10分打分。-园区停车方便(满意度)</t>
  </si>
  <si>
    <t>Q8-请问您对杭州国际博览中心的交通便利性评价？请用1-10分打分。-园区停车方便(重要性)</t>
  </si>
  <si>
    <t>Q8-请问您对杭州国际博览中心的交通便利性评价？请用1-10分打分。-内部交通流线安排(满意度)</t>
  </si>
  <si>
    <t>Q8-请问您对杭州国际博览中心的交通便利性评价？请用1-10分打分。-内部交通流线安排(重要性)</t>
  </si>
  <si>
    <t>Q8-请问您对杭州国际博览中心的交通便利性评价？请用1-10分打分。-货运通道(满意度)</t>
  </si>
  <si>
    <t>Q8-请问您对杭州国际博览中心的交通便利性评价？请用1-10分打分。-货运通道(重要性)</t>
  </si>
  <si>
    <t>Q8-请问您对杭州国际博览中心的交通便利性评价？请用1-10分打分。-快递物流服务(满意度)</t>
  </si>
  <si>
    <t>Q8-请问您对杭州国际博览中心的交通便利性评价？请用1-10分打分。-快递物流服务(重要性)</t>
  </si>
  <si>
    <t>Q9-请问您对本次会议/展览的硬件设施评价如何？ 请用1-10分打分。-标识标牌清晰(满意度)</t>
  </si>
  <si>
    <t>Q9-请问您对本次会议/展览的硬件设施评价如何？ 请用1-10分打分。-标识标牌清晰(重要性)</t>
  </si>
  <si>
    <t>Q9-请问您对本次会议/展览的硬件设施评价如何？ 请用1-10分打分。-设施设备齐全（供电、水务、空调、电梯、照明、消防、网络等）(满意度)</t>
  </si>
  <si>
    <t>Q9-请问您对本次会议/展览的硬件设施评价如何？ 请用1-10分打分。-设施设备齐全（供电、水务、空调、电梯、照明、消防、网络等）(重要性)</t>
  </si>
  <si>
    <t>Q9-请问您对本次会议/展览的硬件设施评价如何？ 请用1-10分打分。-休息空间(满意度)</t>
  </si>
  <si>
    <t>Q9-请问您对本次会议/展览的硬件设施评价如何？ 请用1-10分打分。-休息空间(重要性)</t>
  </si>
  <si>
    <t>Q10-请问您对本次会议/展览中的各环节服务评价如何？ 请用1-10分打分。-工程设备服务(满意度)</t>
  </si>
  <si>
    <t>Q10-请问您对本次会议/展览中的各环节服务评价如何？ 请用1-10分打分。-工程设备服务(重要性)</t>
  </si>
  <si>
    <t>Q10-请问您对本次会议/展览中的各环节服务评价如何？ 请用1-10分打分。-现场布置与搭建(满意度)</t>
  </si>
  <si>
    <t>Q10-请问您对本次会议/展览中的各环节服务评价如何？ 请用1-10分打分。-现场布置与搭建(重要性)</t>
  </si>
  <si>
    <t>Q10-请问您对本次会议/展览中的各环节服务评价如何？ 请用1-10分打分。-报馆流程及服务(满意度)</t>
  </si>
  <si>
    <t>Q10-请问您对本次会议/展览中的各环节服务评价如何？ 请用1-10分打分。-报馆流程及服务(重要性)</t>
  </si>
  <si>
    <t>Q10-请问您对本次会议/展览中的各环节服务评价如何？ 请用1-10分打分。-在线服务渠道便捷（报馆服务）(满意度)</t>
  </si>
  <si>
    <t>Q10-请问您对本次会议/展览中的各环节服务评价如何？ 请用1-10分打分。-在线服务渠道便捷（报馆服务）(重要性)</t>
  </si>
  <si>
    <t>Q11-请问您对本次会议/展览的工作人员服务评价如何？ 请用1-10分打分。-工作人员仪容仪表(满意度)</t>
  </si>
  <si>
    <t>Q11-请问您对本次会议/展览的工作人员服务评价如何？ 请用1-10分打分。-工作人员仪容仪表(重要性)</t>
  </si>
  <si>
    <t>Q11-请问您对本次会议/展览的工作人员服务评价如何？ 请用1-10分打分。-工作人员服务态度(满意度)</t>
  </si>
  <si>
    <t>Q11-请问您对本次会议/展览的工作人员服务评价如何？ 请用1-10分打分。-工作人员服务态度(重要性)</t>
  </si>
  <si>
    <t>Q11-请问您对本次会议/展览的工作人员服务评价如何？ 请用1-10分打分。-工作人员业务技能(满意度)</t>
  </si>
  <si>
    <t>Q11-请问您对本次会议/展览的工作人员服务评价如何？ 请用1-10分打分。-工作人员业务技能(重要性)</t>
  </si>
  <si>
    <t>Q11-请问您对本次会议/展览的工作人员服务评价如何？ 请用1-10分打分。-现场对接服务效率(满意度)</t>
  </si>
  <si>
    <t>Q11-请问您对本次会议/展览的工作人员服务评价如何？ 请用1-10分打分。-现场对接服务效率(重要性)</t>
  </si>
  <si>
    <t>Q11-请问您对本次会议/展览的工作人员服务评价如何？ 请用1-10分打分。-现场协调对接沟通(满意度)</t>
  </si>
  <si>
    <t>Q11-请问您对本次会议/展览的工作人员服务评价如何？ 请用1-10分打分。-现场协调对接沟通(重要性)</t>
  </si>
  <si>
    <t>Q12-请问您对本次会议/展览服务效率的评价如何？ 请用1-10分打分。-服务响应及时性(满意度)</t>
  </si>
  <si>
    <t>Q12-请问您对本次会议/展览服务效率的评价如何？ 请用1-10分打分。-服务响应及时性(重要性)</t>
  </si>
  <si>
    <t>Q12-请问您对本次会议/展览服务效率的评价如何？ 请用1-10分打分。-整体协调和配合(满意度)</t>
  </si>
  <si>
    <t>Q12-请问您对本次会议/展览服务效率的评价如何？ 请用1-10分打分。-整体协调和配合(重要性)</t>
  </si>
  <si>
    <t>Q13-请问您对本次会议/展览后的各环节服务评价如何？ 请用1-10分打分。-撤展服务(满意度)</t>
  </si>
  <si>
    <t>Q13-请问您对本次会议/展览后的各环节服务评价如何？ 请用1-10分打分。-撤展服务(重要性)</t>
  </si>
  <si>
    <t>Q13-请问您对本次会议/展览后的各环节服务评价如何？ 请用1-10分打分。-展后回访(满意度)</t>
  </si>
  <si>
    <t>Q13-请问您对本次会议/展览后的各环节服务评价如何？ 请用1-10分打分。-展后回访(重要性)</t>
  </si>
  <si>
    <t>Q14-请问您对本次会议/展览的相关配套服务评价如何？ 请用1-10分打分。-餐饮服务(自助餐 \美食廊等)(满意度)</t>
  </si>
  <si>
    <t>Q14-请问您对本次会议/展览的相关配套服务评价如何？ 请用1-10分打分。-餐饮服务(自助餐 \美食廊等)(重要性)</t>
  </si>
  <si>
    <t>Q14-请问您对本次会议/展览的相关配套服务评价如何？ 请用1-10分打分。-客房服务(满意度)</t>
  </si>
  <si>
    <t>Q14-请问您对本次会议/展览的相关配套服务评价如何？ 请用1-10分打分。-客房服务(重要性)</t>
  </si>
  <si>
    <t>Q14-请问您对本次会议/展览的相关配套服务评价如何？ 请用1-10分打分。-安保服务(满意度)</t>
  </si>
  <si>
    <t>Q14-请问您对本次会议/展览的相关配套服务评价如何？ 请用1-10分打分。-安保服务(重要性)</t>
  </si>
  <si>
    <t>Q14-请问您对本次会议/展览的相关配套服务评价如何？ 请用1-10分打分。-保洁服务(满意度)</t>
  </si>
  <si>
    <t>Q14-请问您对本次会议/展览的相关配套服务评价如何？ 请用1-10分打分。-保洁服务(重要性)</t>
  </si>
  <si>
    <t>Q15-您知道杭州国际博览中心杭州国博APP吗？</t>
  </si>
  <si>
    <t>Q16-请问您对杭州国际博览中心杭州国博APP评价评价？请用1-10分打分。-杭州国博APP(满意度)</t>
  </si>
  <si>
    <t>Q16-请问您对杭州国际博览中心杭州国博APP评价评价？请用1-10分打分。-杭州国博APP(重要性)</t>
  </si>
  <si>
    <t>Q17-您知道杭州国际博览中心室内导航系统吗？</t>
  </si>
  <si>
    <t>Q18-请问您对杭州国际博览中心室内导航系统评价如何-室内导航系统(满意度)</t>
  </si>
  <si>
    <t>Q18-请问您对杭州国际博览中心室内导航系统评价如何-室内导航系统(重要性)</t>
  </si>
  <si>
    <t>Q19-您知道杭州国际博览中心寻车系统吗？</t>
  </si>
  <si>
    <t>Q20-请问您对杭州国际博览中心寻车系统评价评价？请用1-10分打分。-寻车系统(满意度)</t>
  </si>
  <si>
    <t>Q20-请问您对杭州国际博览中心寻车系统评价评价？请用1-10分打分。-寻车系统(重要性)</t>
  </si>
  <si>
    <t>Q21-您知道杭州国际博览中心云上看馆吗？</t>
  </si>
  <si>
    <t>Q22-请问您对杭州国际博览中心云上看馆评价评价？请用1-10分打分。-云上看馆(满意度)</t>
  </si>
  <si>
    <t>Q22-请问您对杭州国际博览中心云上看馆评价评价？请用1-10分打分。-云上看馆(重要性)</t>
  </si>
  <si>
    <t>Q23-请问您对本次展览服务的总体满意程度如何？【单选】 请用1-10分打分。—满意度</t>
  </si>
  <si>
    <t>Q24-本次展览的服务是否有达到您的预期？—满意度</t>
  </si>
  <si>
    <t xml:space="preserve">Q25-
请问您对杭州国际博览中心的评价或建议？【开放题】
</t>
  </si>
  <si>
    <t>扩展字段</t>
  </si>
  <si>
    <t>用户ID</t>
  </si>
  <si>
    <t>修改用户</t>
  </si>
  <si>
    <t>提交时间</t>
  </si>
  <si>
    <t>修改时间</t>
  </si>
  <si>
    <t>录音</t>
  </si>
  <si>
    <t>填表时长</t>
  </si>
  <si>
    <t>开始填表时间</t>
  </si>
  <si>
    <t>待审核的任务id</t>
  </si>
  <si>
    <t>上次审核的任务id</t>
  </si>
  <si>
    <t>层级列表</t>
  </si>
  <si>
    <t>待审核的用户</t>
  </si>
  <si>
    <t>填表地址</t>
  </si>
  <si>
    <t>用户名称</t>
  </si>
  <si>
    <t>会展服务商</t>
  </si>
  <si>
    <t>指标</t>
  </si>
  <si>
    <t>满意度</t>
  </si>
  <si>
    <t>重要性</t>
  </si>
  <si>
    <t>会展服务</t>
  </si>
  <si>
    <t>现场对接协调沟通</t>
  </si>
  <si>
    <t>现场对接服务效率</t>
  </si>
  <si>
    <t>工作人员仪容仪表</t>
  </si>
  <si>
    <t>工作人员服务态度</t>
  </si>
  <si>
    <t>工作人员业务技能</t>
  </si>
  <si>
    <t>现场布置与搭建</t>
  </si>
  <si>
    <t>报馆流程及服务</t>
  </si>
  <si>
    <t>在线服务渠道便捷</t>
  </si>
  <si>
    <t>工程设备服务</t>
  </si>
  <si>
    <t>整体协调和配合</t>
  </si>
  <si>
    <t>服务响应及时性</t>
  </si>
  <si>
    <t>撤展服务</t>
  </si>
  <si>
    <t>展后回访</t>
  </si>
  <si>
    <t>硬件设施</t>
  </si>
  <si>
    <t>交通便利，容易到达</t>
  </si>
  <si>
    <t>标识标牌清晰</t>
  </si>
  <si>
    <t>交通流线</t>
  </si>
  <si>
    <t>园区停车便利</t>
  </si>
  <si>
    <t>货运通道</t>
  </si>
  <si>
    <t>快递物流</t>
  </si>
  <si>
    <t>休息空间</t>
  </si>
  <si>
    <t>设施设备齐全</t>
  </si>
  <si>
    <t>配套服务</t>
  </si>
  <si>
    <t>餐饮服务</t>
  </si>
  <si>
    <t>客房服务</t>
  </si>
  <si>
    <t>安保服务</t>
  </si>
  <si>
    <t>保洁服务</t>
  </si>
  <si>
    <t>智慧场馆</t>
  </si>
  <si>
    <t>室内导航系统</t>
  </si>
  <si>
    <t>寻车系统</t>
  </si>
  <si>
    <t>杭州国博APP</t>
  </si>
  <si>
    <t>云上看馆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</si>
</sst>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1"/>
      <color rgb="FF3F3F76"/>
      <name val="宋体"/>
      <family val="3"/>
      <charset val="134"/>
      <scheme val="minor"/>
    </font>
    <font>
      <sz val="10"/>
      <name val="Arial"/>
      <family val="2"/>
    </font>
    <font>
      <sz val="11"/>
      <color rgb="FF00610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2" applyAlignment="1">
      <alignment horizontal="center" vertical="center"/>
    </xf>
    <xf numFmtId="0" fontId="3" fillId="0" borderId="0" xfId="2" applyFill="1" applyAlignment="1">
      <alignment horizontal="center" vertical="center"/>
    </xf>
    <xf numFmtId="0" fontId="3" fillId="3" borderId="0" xfId="2" applyAlignment="1">
      <alignment horizontal="center" vertical="top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3">
    <cellStyle name="常规" xfId="0" builtinId="0"/>
    <cellStyle name="好" xfId="2" builtinId="26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P1"/>
  <sheetViews>
    <sheetView workbookViewId="0">
      <selection activeCell="F15" sqref="F15"/>
    </sheetView>
  </sheetViews>
  <sheetFormatPr baseColWidth="10" defaultColWidth="9" defaultRowHeight="14"/>
  <cols>
    <col min="1" max="1" width="5.5" style="7" customWidth="1"/>
    <col min="2" max="2" width="6.5" style="7" customWidth="1"/>
    <col min="3" max="3" width="13.6640625" style="7" customWidth="1"/>
    <col min="4" max="4" width="13.1640625" style="7" customWidth="1"/>
    <col min="5" max="5" width="22" style="7" customWidth="1"/>
    <col min="6" max="7" width="8.6640625" style="7" customWidth="1"/>
    <col min="8" max="9" width="53.5" style="8" customWidth="1"/>
    <col min="10" max="11" width="50.1640625" style="8" customWidth="1"/>
    <col min="12" max="13" width="52.33203125" style="8" customWidth="1"/>
    <col min="14" max="15" width="48" style="8" customWidth="1"/>
    <col min="16" max="17" width="50.1640625" style="8" customWidth="1"/>
    <col min="18" max="19" width="50.33203125" style="8" customWidth="1"/>
    <col min="20" max="21" width="75.5" style="8" customWidth="1"/>
    <col min="22" max="23" width="48" style="8" customWidth="1"/>
    <col min="24" max="25" width="53.6640625" style="8" customWidth="1"/>
    <col min="26" max="29" width="54.6640625" style="8" customWidth="1"/>
    <col min="30" max="31" width="62.5" style="8" customWidth="1"/>
    <col min="32" max="41" width="55.83203125" style="8" customWidth="1"/>
    <col min="42" max="45" width="52.5" style="8" customWidth="1"/>
    <col min="46" max="49" width="51.5" style="8" customWidth="1"/>
    <col min="50" max="51" width="61.83203125" style="8" customWidth="1"/>
    <col min="52" max="57" width="51.5" style="8" customWidth="1"/>
    <col min="58" max="58" width="27.6640625" style="8" customWidth="1"/>
    <col min="59" max="60" width="56" style="8" customWidth="1"/>
    <col min="61" max="61" width="26.33203125" style="8" customWidth="1"/>
    <col min="62" max="63" width="41.6640625" style="8" customWidth="1"/>
    <col min="64" max="64" width="24.1640625" style="8" customWidth="1"/>
    <col min="65" max="66" width="49.1640625" style="8" customWidth="1"/>
    <col min="67" max="67" width="24.1640625" style="8" customWidth="1"/>
    <col min="68" max="69" width="49.1640625" style="8" customWidth="1"/>
    <col min="70" max="70" width="48.33203125" style="8" customWidth="1"/>
    <col min="71" max="71" width="29.33203125" style="8" customWidth="1"/>
    <col min="72" max="72" width="27.5" style="8" customWidth="1"/>
    <col min="73" max="73" width="5.5" style="8" customWidth="1"/>
    <col min="74" max="74" width="5.1640625" style="8" customWidth="1"/>
    <col min="75" max="75" width="5.5" style="8" customWidth="1"/>
    <col min="76" max="77" width="20.5" style="8" customWidth="1"/>
    <col min="78" max="78" width="3.1640625" style="8" customWidth="1"/>
    <col min="79" max="79" width="5.5" style="8" customWidth="1"/>
    <col min="80" max="80" width="7.6640625" style="8" customWidth="1"/>
    <col min="81" max="81" width="9.33203125" style="8" customWidth="1"/>
    <col min="82" max="82" width="10.33203125" style="8" customWidth="1"/>
    <col min="83" max="83" width="5.5" style="8" customWidth="1"/>
    <col min="84" max="84" width="7.6640625" style="8" customWidth="1"/>
    <col min="85" max="86" width="5.5" style="8" customWidth="1"/>
    <col min="87" max="94" width="9" style="8"/>
    <col min="95" max="16384" width="9" style="7"/>
  </cols>
  <sheetData>
    <row r="1" spans="1:8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35"/>
  <sheetViews>
    <sheetView tabSelected="1" zoomScale="111" zoomScaleNormal="62" workbookViewId="0">
      <selection activeCell="I16" sqref="I16"/>
    </sheetView>
  </sheetViews>
  <sheetFormatPr baseColWidth="10" defaultColWidth="9" defaultRowHeight="14"/>
  <cols>
    <col min="1" max="1" width="24.6640625" customWidth="1"/>
    <col min="2" max="3" width="9" style="1"/>
    <col min="11" max="11" width="9.33203125"/>
  </cols>
  <sheetData>
    <row r="1" spans="1:3">
      <c r="A1" s="2" t="s">
        <v>86</v>
      </c>
      <c r="B1" s="1" t="str">
        <f>IFERROR(ROUND(AVERAGE(B3,B17,B26,B31),2),"")</f>
        <v/>
      </c>
      <c r="C1" s="1" t="str">
        <f>IFERROR(ROUND(AVERAGE(C3,C17,C26,C31),2),"")</f>
        <v/>
      </c>
    </row>
    <row r="2" spans="1:3">
      <c r="A2" s="3" t="s">
        <v>87</v>
      </c>
      <c r="B2" s="1" t="s">
        <v>88</v>
      </c>
      <c r="C2" s="1" t="s">
        <v>89</v>
      </c>
    </row>
    <row r="3" spans="1:3">
      <c r="A3" s="4" t="s">
        <v>90</v>
      </c>
      <c r="B3" s="4" t="str">
        <f>IFERROR(ROUND(AVERAGE(B4:B16),2),"")</f>
        <v/>
      </c>
      <c r="C3" s="4" t="str">
        <f>IFERROR(ROUND(AVERAGE(C4:C16),2),"")</f>
        <v/>
      </c>
    </row>
    <row r="4" spans="1:3">
      <c r="A4" s="5" t="s">
        <v>91</v>
      </c>
      <c r="B4" s="1" t="str">
        <f>IFERROR(ROUND(AVERAGEIFS(数据!AN:AN,数据!$D:$D,$A$1,数据!AN:AN,"&gt;0",数据!AN:AN,"&lt;11"),2),"")</f>
        <v/>
      </c>
      <c r="C4" s="1" t="str">
        <f>IFERROR(ROUND(AVERAGEIFS(数据!AO:AO,数据!$D:$D,$A$1,数据!AO:AO,"&gt;0",数据!AO:AO,"&lt;11"),2),"")</f>
        <v/>
      </c>
    </row>
    <row r="5" spans="1:3">
      <c r="A5" s="3" t="s">
        <v>92</v>
      </c>
      <c r="B5" s="1" t="str">
        <f>IFERROR(ROUND(AVERAGEIFS(数据!AL:AL,数据!$D:$D,$A$1,数据!AL:AL,"&gt;0",数据!AL:AL,"&lt;11"),2),"")</f>
        <v/>
      </c>
      <c r="C5" s="1" t="str">
        <f>IFERROR(ROUND(AVERAGEIFS(数据!AM:AM,数据!$D:$D,$A$1,数据!AM:AM,"&gt;0",数据!AM:AM,"&lt;11"),2),"")</f>
        <v/>
      </c>
    </row>
    <row r="6" spans="1:3">
      <c r="A6" s="3" t="s">
        <v>93</v>
      </c>
      <c r="B6" s="1" t="str">
        <f>IFERROR(ROUND(AVERAGEIFS(数据!AF:AF,数据!$D:$D,$A$1,数据!AF:AF,"&gt;0",数据!AF:AF,"&lt;11"),2),"")</f>
        <v/>
      </c>
      <c r="C6" s="1" t="str">
        <f>IFERROR(ROUND(AVERAGEIFS(数据!AG:AG,数据!$D:$D,$A$1,数据!AG:AG,"&gt;0",数据!AG:AG,"&lt;11"),2),"")</f>
        <v/>
      </c>
    </row>
    <row r="7" spans="1:3" ht="19" customHeight="1">
      <c r="A7" s="3" t="s">
        <v>94</v>
      </c>
      <c r="B7" s="1" t="str">
        <f>IFERROR(ROUND(AVERAGEIFS(数据!AH:AH,数据!$D:$D,$A$1,数据!AH:AH,"&gt;0",数据!AL:AL,"&lt;11"),2),"")</f>
        <v/>
      </c>
      <c r="C7" s="1" t="str">
        <f>IFERROR(ROUND(AVERAGEIFS(数据!AI:AI,数据!$D:$D,$A$1,数据!AI:AI,"&gt;0",数据!AI:AI,"&lt;11"),2),"")</f>
        <v/>
      </c>
    </row>
    <row r="8" spans="1:3" ht="17" customHeight="1">
      <c r="A8" s="3" t="s">
        <v>95</v>
      </c>
      <c r="B8" s="1" t="str">
        <f>IFERROR(ROUND(AVERAGEIFS(数据!AJ:AJ,数据!$D:$D,$A$1,数据!AJ:AJ,"&gt;0",数据!AJ:AJ,"&lt;11"),2),"")</f>
        <v/>
      </c>
      <c r="C8" s="1" t="str">
        <f>IFERROR(ROUND(AVERAGEIFS(数据!AK:AK,数据!$D:$D,$A$1,数据!AK:AK,"&gt;0",数据!AK:AK,"&lt;11"),2),"")</f>
        <v/>
      </c>
    </row>
    <row r="9" spans="1:3">
      <c r="A9" s="3" t="s">
        <v>96</v>
      </c>
      <c r="B9" s="1" t="str">
        <f>IFERROR(ROUND(AVERAGEIFS(数据!Z:Z,数据!$D:$D,$A$1,数据!Z:Z,"&gt;0",数据!Z:Z,"&lt;11"),2),"")</f>
        <v/>
      </c>
      <c r="C9" s="1" t="str">
        <f>IFERROR(ROUND(AVERAGEIFS(数据!AA:AA,数据!$D:$D,$A$1,数据!AA:AA,"&gt;0",数据!AA:AA,"&lt;11"),2),"")</f>
        <v/>
      </c>
    </row>
    <row r="10" spans="1:3">
      <c r="A10" s="3" t="s">
        <v>97</v>
      </c>
      <c r="B10" s="1" t="str">
        <f>IFERROR(ROUND(AVERAGEIFS(数据!AB:AB,数据!$D:$D,$A$1,数据!AB:AB,"&gt;0",数据!AB:AB,"&lt;11"),2),"")</f>
        <v/>
      </c>
      <c r="C10" s="1" t="str">
        <f>IFERROR(ROUND(AVERAGEIFS(数据!AC:AC,数据!$D:$D,$A$1,数据!AC:AC,"&gt;0",数据!AC:AC,"&lt;11"),2),"")</f>
        <v/>
      </c>
    </row>
    <row r="11" spans="1:3">
      <c r="A11" s="3" t="s">
        <v>98</v>
      </c>
      <c r="B11" s="1" t="str">
        <f>IFERROR(ROUND(AVERAGEIFS(数据!AD:AD,数据!$D:$D,$A$1,数据!AD:AD,"&gt;0",数据!AD:AD,"&lt;11"),2),"")</f>
        <v/>
      </c>
      <c r="C11" s="1" t="str">
        <f>IFERROR(ROUND(AVERAGEIFS(数据!AE:AE,数据!$D:$D,$A$1,数据!AE:AE,"&gt;0",数据!AE:AE,"&lt;11"),2),"")</f>
        <v/>
      </c>
    </row>
    <row r="12" spans="1:3">
      <c r="A12" s="3" t="s">
        <v>99</v>
      </c>
      <c r="B12" s="1" t="str">
        <f>IFERROR(ROUND(AVERAGEIFS(数据!X:X,数据!$D:$D,$A$1,数据!X:X,"&gt;0",数据!X:X,"&lt;11"),2),"")</f>
        <v/>
      </c>
      <c r="C12" s="1" t="str">
        <f>IFERROR(ROUND(AVERAGEIFS(数据!Y:Y,数据!$D:$D,$A$1,数据!Y:Y,"&gt;0",数据!Y:Y,"&lt;11"),2),"")</f>
        <v/>
      </c>
    </row>
    <row r="13" spans="1:3" ht="17" customHeight="1">
      <c r="A13" s="3" t="s">
        <v>100</v>
      </c>
      <c r="B13" s="1" t="str">
        <f>IFERROR(ROUND(AVERAGEIFS(数据!AR:AR,数据!$D:$D,$A$1,数据!AR:AR,"&gt;0",数据!AR:AR,"&lt;11"),2),"")</f>
        <v/>
      </c>
      <c r="C13" s="1" t="str">
        <f>IFERROR(ROUND(AVERAGEIFS(数据!AS:AS,数据!$D:$D,$A$1,数据!AS:AS,"&gt;0",数据!AS:AS,"&lt;11"),2),"")</f>
        <v/>
      </c>
    </row>
    <row r="14" spans="1:3" ht="17" customHeight="1">
      <c r="A14" s="3" t="s">
        <v>101</v>
      </c>
      <c r="B14" s="1" t="str">
        <f>IFERROR(ROUND(AVERAGEIFS(数据!AP:AP,数据!$D:$D,$A$1,数据!AP:AP,"&gt;0",数据!AP:AP,"&lt;11"),2),"")</f>
        <v/>
      </c>
      <c r="C14" s="1" t="str">
        <f>IFERROR(ROUND(AVERAGEIFS(数据!AQ:AQ,数据!$D:$D,$A$1,数据!AQ:AQ,"&gt;0",数据!AQ:AQ,"&lt;11"),2),"")</f>
        <v/>
      </c>
    </row>
    <row r="15" spans="1:3">
      <c r="A15" s="3" t="s">
        <v>102</v>
      </c>
      <c r="B15" s="1" t="str">
        <f>IFERROR(ROUND(AVERAGEIFS(数据!AT:AT,数据!$D:$D,$A$1,数据!AT:AT,"&gt;0",数据!AT:AT,"&lt;11"),2),"")</f>
        <v/>
      </c>
      <c r="C15" s="1" t="str">
        <f>IFERROR(ROUND(AVERAGEIFS(数据!AU:AU,数据!$D:$D,$A$1,数据!AU:AU,"&gt;0",数据!AU:AU,"&lt;11"),2),"")</f>
        <v/>
      </c>
    </row>
    <row r="16" spans="1:3" ht="15" customHeight="1">
      <c r="A16" s="3" t="s">
        <v>103</v>
      </c>
      <c r="B16" s="1" t="str">
        <f>IFERROR(ROUND(AVERAGEIFS(数据!AV:AV,数据!$D:$D,$A$1,数据!AV:AV,"&gt;0",数据!AV:AV,"&lt;11"),2),"")</f>
        <v/>
      </c>
      <c r="C16" s="1" t="str">
        <f>IFERROR(ROUND(AVERAGEIFS(数据!AX:AX,数据!$D:$D,$A$1,数据!AX:AX,"&gt;0",数据!AX:AX,"&lt;11"),2),"")</f>
        <v/>
      </c>
    </row>
    <row r="17" spans="1:3" ht="17" customHeight="1">
      <c r="A17" s="4" t="s">
        <v>104</v>
      </c>
      <c r="B17" s="4" t="str">
        <f>IFERROR(ROUND(AVERAGE(B18:B25),2),"")</f>
        <v/>
      </c>
      <c r="C17" s="4" t="str">
        <f>IFERROR(ROUND(AVERAGE(C18:C25),2),"")</f>
        <v/>
      </c>
    </row>
    <row r="18" spans="1:3" ht="17" customHeight="1">
      <c r="A18" s="3" t="s">
        <v>105</v>
      </c>
      <c r="B18" s="1" t="str">
        <f>IFERROR(ROUND(AVERAGEIFS(数据!H:H,数据!$D:$D,$A$1,数据!H:H,"&gt;0",数据!H:H,"&lt;11"),2),"")</f>
        <v/>
      </c>
      <c r="C18" s="1" t="str">
        <f>IFERROR(ROUND(AVERAGEIFS(数据!I:I,数据!$D:$D,$A$1,数据!I:I,"&gt;0",数据!I:I,"&lt;11"),2),"")</f>
        <v/>
      </c>
    </row>
    <row r="19" spans="1:3" ht="17" customHeight="1">
      <c r="A19" s="3" t="s">
        <v>106</v>
      </c>
      <c r="B19" s="1" t="str">
        <f>IFERROR(ROUND(AVERAGEIFS(数据!R:R,数据!$D:$D,$A$1,数据!R:R,"&gt;0",数据!R:R,"&lt;11"),2),"")</f>
        <v/>
      </c>
      <c r="C19" s="1" t="str">
        <f>IFERROR(ROUND(AVERAGEIFS(数据!S:S,数据!$D:$D,$A$1,数据!S:S,"&gt;0",数据!S:S,"&lt;11"),2),"")</f>
        <v/>
      </c>
    </row>
    <row r="20" spans="1:3">
      <c r="A20" s="3" t="s">
        <v>107</v>
      </c>
      <c r="B20" s="1" t="str">
        <f>IFERROR(ROUND(AVERAGEIFS(数据!L:L,数据!$D:$D,$A$1,数据!L:L,"&gt;0",数据!L:L,"&lt;11"),2),"")</f>
        <v/>
      </c>
      <c r="C20" s="1" t="str">
        <f>IFERROR(ROUND(AVERAGEIFS(数据!M:M,数据!$D:$D,$A$1,数据!M:M,"&gt;0",数据!M:M,"&lt;11"),2),"")</f>
        <v/>
      </c>
    </row>
    <row r="21" spans="1:3">
      <c r="A21" s="3" t="s">
        <v>108</v>
      </c>
      <c r="B21" s="1" t="str">
        <f>IFERROR(ROUND(AVERAGEIFS(数据!J:J,数据!$D:$D,$A$1,数据!J:J,"&gt;0",数据!J:J,"&lt;11"),2),"")</f>
        <v/>
      </c>
      <c r="C21" s="1" t="str">
        <f>IFERROR(ROUND(AVERAGEIFS(数据!K:K,数据!$D:$D,$A$1,数据!K:K,"&gt;0",数据!K:K,"&lt;11"),2),"")</f>
        <v/>
      </c>
    </row>
    <row r="22" spans="1:3">
      <c r="A22" s="3" t="s">
        <v>109</v>
      </c>
      <c r="B22" s="1" t="str">
        <f>IFERROR(ROUND(AVERAGEIFS(数据!N:N,数据!$D:$D,$A$1,数据!N:N,"&gt;0",数据!N:N,"&lt;11"),2),"")</f>
        <v/>
      </c>
      <c r="C22" s="1" t="str">
        <f>IFERROR(ROUND(AVERAGEIFS(数据!O:O,数据!$D:$D,$A$1,数据!O:O,"&gt;0",数据!O:O,"&lt;11"),2),"")</f>
        <v/>
      </c>
    </row>
    <row r="23" spans="1:3">
      <c r="A23" s="3" t="s">
        <v>110</v>
      </c>
      <c r="B23" s="1" t="str">
        <f>IFERROR(ROUND(AVERAGEIFS(数据!P:P,数据!$D:$D,$A$1,数据!P:P,"&gt;0",数据!P:P,"&lt;11"),2),"")</f>
        <v/>
      </c>
      <c r="C23" s="1" t="str">
        <f>IFERROR(ROUND(AVERAGEIFS(数据!Q:Q,数据!$D:$D,$A$1,数据!Q:Q,"&gt;0",数据!Q:Q,"&lt;11"),2),"")</f>
        <v/>
      </c>
    </row>
    <row r="24" spans="1:3" ht="18" customHeight="1">
      <c r="A24" s="3" t="s">
        <v>111</v>
      </c>
      <c r="B24" s="1" t="str">
        <f>IFERROR(ROUND(AVERAGEIFS(数据!V:V,数据!$D:$D,$A$1,数据!V:V,"&gt;0",数据!V:V,"&lt;11"),2),"")</f>
        <v/>
      </c>
      <c r="C24" s="1" t="str">
        <f>IFERROR(ROUND(AVERAGEIFS(数据!W:W,数据!$D:$D,$A$1,数据!W:W,"&gt;0",数据!W:W,"&lt;11"),2),"")</f>
        <v/>
      </c>
    </row>
    <row r="25" spans="1:3" ht="17" customHeight="1">
      <c r="A25" s="3" t="s">
        <v>112</v>
      </c>
      <c r="B25" s="1" t="str">
        <f>IFERROR(ROUND(AVERAGEIFS(数据!T:T,数据!$D:$D,$A$1,数据!T:T,"&gt;0",数据!T:T,"&lt;11"),2),"")</f>
        <v/>
      </c>
      <c r="C25" s="1" t="str">
        <f>IFERROR(ROUND(AVERAGEIFS(数据!U:U,数据!$D:$D,$A$1,数据!U:U,"&gt;0",数据!U:U,"&lt;11"),2),"")</f>
        <v/>
      </c>
    </row>
    <row r="26" spans="1:3" ht="17" customHeight="1">
      <c r="A26" s="4" t="s">
        <v>113</v>
      </c>
      <c r="B26" s="4" t="str">
        <f>IFERROR(ROUND(AVERAGE(B27:B30),2),"")</f>
        <v/>
      </c>
      <c r="C26" s="4" t="str">
        <f>IFERROR(ROUND(AVERAGE(C27:C30),2),"")</f>
        <v/>
      </c>
    </row>
    <row r="27" spans="1:3">
      <c r="A27" s="3" t="s">
        <v>114</v>
      </c>
      <c r="B27" s="1" t="str">
        <f>IFERROR(ROUND(AVERAGEIFS(数据!AX:AX,数据!$D:$D,$A$1,数据!AX:AX,"&gt;0",数据!AX:AX,"&lt;11"),2),"")</f>
        <v/>
      </c>
      <c r="C27" s="1" t="str">
        <f>IFERROR(ROUND(AVERAGEIFS(数据!AY:AY,数据!$D:$D,$A$1,数据!AY:AY,"&gt;0",数据!AY:AY,"&lt;11"),2),"")</f>
        <v/>
      </c>
    </row>
    <row r="28" spans="1:3">
      <c r="A28" s="3" t="s">
        <v>115</v>
      </c>
      <c r="B28" s="1" t="str">
        <f>IFERROR(ROUND(AVERAGEIFS(数据!AZ:AZ,数据!$D:$D,$A$1,数据!AZ:AZ,"&gt;0",数据!AZ:AZ,"&lt;11"),2),"")</f>
        <v/>
      </c>
      <c r="C28" s="1" t="str">
        <f>IFERROR(ROUND(AVERAGEIFS(数据!BA:BA,数据!$D:$D,$A$1,数据!BA:BA,"&gt;0",数据!BA:BA,"&lt;11"),2),"")</f>
        <v/>
      </c>
    </row>
    <row r="29" spans="1:3">
      <c r="A29" s="3" t="s">
        <v>116</v>
      </c>
      <c r="B29" s="1" t="str">
        <f>IFERROR(ROUND(AVERAGEIFS(数据!BB:BB,数据!$D:$D,$A$1,数据!BB:BB,"&gt;0",数据!BB:BB,"&lt;11"),2),"")</f>
        <v/>
      </c>
      <c r="C29" s="1" t="str">
        <f>IFERROR(ROUND(AVERAGEIFS(数据!BC:BC,数据!$D:$D,$A$1,数据!BC:BC,"&gt;0",数据!BC:BC,"&lt;11"),2),"")</f>
        <v/>
      </c>
    </row>
    <row r="30" spans="1:3">
      <c r="A30" s="3" t="s">
        <v>117</v>
      </c>
      <c r="B30" s="1" t="str">
        <f>IFERROR(ROUND(AVERAGEIFS(数据!BD:BD,数据!$D:$D,$A$1,数据!BD:BD,"&gt;0",数据!BD:BD,"&lt;11"),2),"")</f>
        <v/>
      </c>
      <c r="C30" s="1" t="str">
        <f>IFERROR(ROUND(AVERAGEIFS(数据!BE:BE,数据!$D:$D,$A$1,数据!BE:BE,"&gt;0",数据!BE:BE,"&lt;11"),2),"")</f>
        <v/>
      </c>
    </row>
    <row r="31" spans="1:3">
      <c r="A31" s="4" t="s">
        <v>118</v>
      </c>
      <c r="B31" s="6" t="str">
        <f>IFERROR(ROUND(AVERAGE(B32:B35),2),"")</f>
        <v/>
      </c>
      <c r="C31" s="4" t="str">
        <f>IFERROR(ROUND(AVERAGE(C32:C35),2),"")</f>
        <v/>
      </c>
    </row>
    <row r="32" spans="1:3">
      <c r="A32" s="3" t="s">
        <v>119</v>
      </c>
      <c r="B32" s="1" t="str">
        <f>IFERROR(ROUND(AVERAGEIFS(数据!BJ:BJ,数据!$D:$D,$A$1,数据!BJ:BJ,"&gt;0",数据!BJ:BJ,"&lt;11"),2),"")</f>
        <v/>
      </c>
      <c r="C32" s="1" t="str">
        <f>IFERROR(ROUND(AVERAGEIFS(数据!BK:BK,数据!$D:$D,$A$1,数据!BK:BK,"&gt;0",数据!BK:BK,"&lt;11"),2),"")</f>
        <v/>
      </c>
    </row>
    <row r="33" spans="1:3">
      <c r="A33" s="3" t="s">
        <v>120</v>
      </c>
      <c r="B33" s="1" t="str">
        <f>IFERROR(ROUND(AVERAGEIFS(数据!BM:BM,数据!$D:$D,$A$1,数据!BM:BM,"&gt;0",数据!BM:BM,"&lt;11"),2),"")</f>
        <v/>
      </c>
      <c r="C33" s="1" t="str">
        <f>IFERROR(ROUND(AVERAGEIFS(数据!BN:BN,数据!$D:$D,$A$1,数据!BN:BN,"&gt;0",数据!BN:BN,"&lt;11"),2),"")</f>
        <v/>
      </c>
    </row>
    <row r="34" spans="1:3">
      <c r="A34" s="3" t="s">
        <v>121</v>
      </c>
      <c r="B34" s="1" t="str">
        <f>IFERROR(ROUND(AVERAGEIFS(数据!BG:BG,数据!$D:$D,$A$1,数据!BG:BG,"&gt;0",数据!BG:BG,"&lt;11"),2),"")</f>
        <v/>
      </c>
      <c r="C34" s="1" t="str">
        <f>IFERROR(ROUND(AVERAGEIFS(数据!BH:BH,数据!$D:$D,$A$1,数据!BH:BH,"&gt;0",数据!BH:BH,"&lt;11"),2),"")</f>
        <v/>
      </c>
    </row>
    <row r="35" spans="1:3">
      <c r="A35" s="3" t="s">
        <v>122</v>
      </c>
      <c r="B35" s="1" t="str">
        <f>IFERROR(ROUND(AVERAGEIFS(数据!BP:BP,数据!$D:$D,$A$1,数据!BP:BP,"&gt;0",数据!BP:BP,"&lt;11"),2),"")</f>
        <v/>
      </c>
      <c r="C35" s="1" t="str">
        <f>IFERROR(ROUND(AVERAGEIFS(数据!BQ:BQ,数据!$D:$D,$A$1,数据!BQ:BQ,"&gt;0",数据!BQ:BQ,"&lt;11"),2),"")</f>
        <v/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会展服务商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张奇进</cp:lastModifiedBy>
  <dcterms:created xsi:type="dcterms:W3CDTF">2023-05-15T03:15:00Z</dcterms:created>
  <dcterms:modified xsi:type="dcterms:W3CDTF">2026-04-08T07:43:41Z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8A818F05B49D45F9AF835B559C2B66CD_13</vt:lpwstr>
  </property>
  <property fmtid="{D5CDD505-2E9C-101B-9397-08002B2CF9AE}" pid="4" name="CalculationRule">
    <vt:i4>0</vt:i4>
  </property>
</Properties>
</file>