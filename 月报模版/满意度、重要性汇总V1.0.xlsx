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qw/Desktop/杭博月报/月报模版（数据+雷达图）/"/>
    </mc:Choice>
  </mc:AlternateContent>
  <xr:revisionPtr revIDLastSave="0" documentId="13_ncr:1_{580D8A50-2E7A-0F4B-A396-2EE03E72D98C}" xr6:coauthVersionLast="47" xr6:coauthVersionMax="47" xr10:uidLastSave="{00000000-0000-0000-0000-000000000000}"/>
  <bookViews>
    <workbookView xWindow="0" yWindow="0" windowWidth="27660" windowHeight="13000" activeTab="1" xr2:uid="{00000000-000D-0000-FFFF-FFFF00000000}"/>
  </bookViews>
  <sheets>
    <sheet name="满意度" sheetId="2" r:id="rId1"/>
    <sheet name="重要性" sheetId="4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4" l="1"/>
  <c r="I24" i="4"/>
  <c r="H24" i="4"/>
  <c r="G24" i="4"/>
  <c r="F24" i="4"/>
  <c r="E24" i="4"/>
  <c r="J23" i="4"/>
  <c r="I23" i="4"/>
  <c r="G23" i="4"/>
  <c r="E23" i="4"/>
  <c r="J22" i="4"/>
  <c r="I22" i="4"/>
  <c r="H22" i="4"/>
  <c r="G22" i="4"/>
  <c r="F22" i="4"/>
  <c r="E22" i="4"/>
  <c r="J21" i="4"/>
  <c r="I21" i="4"/>
  <c r="H21" i="4"/>
  <c r="G21" i="4"/>
  <c r="F21" i="4"/>
  <c r="E21" i="4"/>
  <c r="J20" i="4"/>
  <c r="I20" i="4"/>
  <c r="G20" i="4"/>
  <c r="F20" i="4"/>
  <c r="E20" i="4"/>
  <c r="J19" i="4"/>
  <c r="I19" i="4"/>
  <c r="G19" i="4"/>
  <c r="F19" i="4"/>
  <c r="E19" i="4"/>
  <c r="I17" i="4"/>
  <c r="G17" i="4"/>
  <c r="F17" i="4"/>
  <c r="E17" i="4"/>
  <c r="I16" i="4"/>
  <c r="G16" i="4"/>
  <c r="F16" i="4"/>
  <c r="E16" i="4"/>
  <c r="J15" i="4"/>
  <c r="I15" i="4"/>
  <c r="G15" i="4"/>
  <c r="E15" i="4"/>
  <c r="J14" i="4"/>
  <c r="I14" i="4"/>
  <c r="G14" i="4"/>
  <c r="E14" i="4"/>
  <c r="J13" i="4"/>
  <c r="I13" i="4"/>
  <c r="G13" i="4"/>
  <c r="E13" i="4"/>
  <c r="J12" i="4"/>
  <c r="I12" i="4"/>
  <c r="G12" i="4"/>
  <c r="E12" i="4"/>
  <c r="J11" i="4"/>
  <c r="I11" i="4"/>
  <c r="G11" i="4"/>
  <c r="E11" i="4"/>
  <c r="J10" i="4"/>
  <c r="I10" i="4"/>
  <c r="H10" i="4"/>
  <c r="G10" i="4"/>
  <c r="F10" i="4"/>
  <c r="E10" i="4"/>
  <c r="J9" i="4"/>
  <c r="I9" i="4"/>
  <c r="H9" i="4"/>
  <c r="G9" i="4"/>
  <c r="F9" i="4"/>
  <c r="E9" i="4"/>
  <c r="J8" i="4"/>
  <c r="I8" i="4"/>
  <c r="H8" i="4"/>
  <c r="G8" i="4"/>
  <c r="F8" i="4"/>
  <c r="E8" i="4"/>
  <c r="J7" i="4"/>
  <c r="I7" i="4"/>
  <c r="H7" i="4"/>
  <c r="G7" i="4"/>
  <c r="F7" i="4"/>
  <c r="E7" i="4"/>
  <c r="J6" i="4"/>
  <c r="I6" i="4"/>
  <c r="H6" i="4"/>
  <c r="G6" i="4"/>
  <c r="F6" i="4"/>
  <c r="E6" i="4"/>
  <c r="J5" i="4"/>
  <c r="I5" i="4"/>
  <c r="H5" i="4"/>
  <c r="G5" i="4"/>
  <c r="F5" i="4"/>
  <c r="E5" i="4"/>
  <c r="J24" i="2"/>
  <c r="I24" i="2"/>
  <c r="H24" i="2"/>
  <c r="G24" i="2"/>
  <c r="F24" i="2"/>
  <c r="E24" i="2"/>
  <c r="J23" i="2"/>
  <c r="I23" i="2"/>
  <c r="G23" i="2"/>
  <c r="E23" i="2"/>
  <c r="J22" i="2"/>
  <c r="I22" i="2"/>
  <c r="H22" i="2"/>
  <c r="G22" i="2"/>
  <c r="F22" i="2"/>
  <c r="E22" i="2"/>
  <c r="J21" i="2"/>
  <c r="I21" i="2"/>
  <c r="H21" i="2"/>
  <c r="G21" i="2"/>
  <c r="F21" i="2"/>
  <c r="E21" i="2"/>
  <c r="J20" i="2"/>
  <c r="I20" i="2"/>
  <c r="G20" i="2"/>
  <c r="F20" i="2"/>
  <c r="E20" i="2"/>
  <c r="J19" i="2"/>
  <c r="I19" i="2"/>
  <c r="G19" i="2"/>
  <c r="F19" i="2"/>
  <c r="E19" i="2"/>
  <c r="I17" i="2"/>
  <c r="G17" i="2"/>
  <c r="F17" i="2"/>
  <c r="E17" i="2"/>
  <c r="I16" i="2"/>
  <c r="G16" i="2"/>
  <c r="F16" i="2"/>
  <c r="E16" i="2"/>
  <c r="J15" i="2"/>
  <c r="I15" i="2"/>
  <c r="G15" i="2"/>
  <c r="E15" i="2"/>
  <c r="J14" i="2"/>
  <c r="I14" i="2"/>
  <c r="G14" i="2"/>
  <c r="E14" i="2"/>
  <c r="J13" i="2"/>
  <c r="I13" i="2"/>
  <c r="G13" i="2"/>
  <c r="E13" i="2"/>
  <c r="J12" i="2"/>
  <c r="I12" i="2"/>
  <c r="G12" i="2"/>
  <c r="E12" i="2"/>
  <c r="J11" i="2"/>
  <c r="I11" i="2"/>
  <c r="G11" i="2"/>
  <c r="E11" i="2"/>
  <c r="J10" i="2"/>
  <c r="I10" i="2"/>
  <c r="H10" i="2"/>
  <c r="G10" i="2"/>
  <c r="F10" i="2"/>
  <c r="E10" i="2"/>
  <c r="J9" i="2"/>
  <c r="I9" i="2"/>
  <c r="H9" i="2"/>
  <c r="G9" i="2"/>
  <c r="F9" i="2"/>
  <c r="E9" i="2"/>
  <c r="J8" i="2"/>
  <c r="I8" i="2"/>
  <c r="H8" i="2"/>
  <c r="G8" i="2"/>
  <c r="F8" i="2"/>
  <c r="E8" i="2"/>
  <c r="J7" i="2"/>
  <c r="I7" i="2"/>
  <c r="H7" i="2"/>
  <c r="G7" i="2"/>
  <c r="F7" i="2"/>
  <c r="E7" i="2"/>
  <c r="J6" i="2"/>
  <c r="I6" i="2"/>
  <c r="H6" i="2"/>
  <c r="G6" i="2"/>
  <c r="F6" i="2"/>
  <c r="E6" i="2"/>
  <c r="J5" i="2"/>
  <c r="I5" i="2"/>
  <c r="H5" i="2"/>
  <c r="G5" i="2"/>
  <c r="F5" i="2"/>
  <c r="E5" i="2"/>
</calcChain>
</file>

<file path=xl/sharedStrings.xml><?xml version="1.0" encoding="utf-8"?>
<sst xmlns="http://schemas.openxmlformats.org/spreadsheetml/2006/main" count="66" uniqueCount="33">
  <si>
    <t>杭博客户类型满意度情况表</t>
  </si>
  <si>
    <t>样本类型</t>
  </si>
  <si>
    <t>总分</t>
  </si>
  <si>
    <t>产品服务</t>
  </si>
  <si>
    <t>硬件设施</t>
  </si>
  <si>
    <t>配套服务</t>
  </si>
  <si>
    <t>智慧场馆/服务</t>
  </si>
  <si>
    <t>餐饮服务</t>
  </si>
  <si>
    <t>一、会展客户</t>
  </si>
  <si>
    <t>展览活动主（承）办</t>
  </si>
  <si>
    <t>参展商</t>
  </si>
  <si>
    <t>专业观众</t>
  </si>
  <si>
    <t>会展服务商</t>
  </si>
  <si>
    <t>会议活动主（承）办</t>
  </si>
  <si>
    <t>参会客户</t>
  </si>
  <si>
    <t>二、餐饮客户</t>
  </si>
  <si>
    <t>商务简餐</t>
  </si>
  <si>
    <t>特色美食廊</t>
  </si>
  <si>
    <t>宴会</t>
  </si>
  <si>
    <t>婚宴</t>
  </si>
  <si>
    <t>自助餐</t>
  </si>
  <si>
    <t>三、G20峰会体验馆</t>
  </si>
  <si>
    <t>旅行社工作人员</t>
  </si>
  <si>
    <t>游客</t>
  </si>
  <si>
    <t>四、专项调研</t>
  </si>
  <si>
    <t>五、酒店客户</t>
  </si>
  <si>
    <t>散客</t>
  </si>
  <si>
    <t>住宿团队</t>
  </si>
  <si>
    <t>酒店会议活动主（承）办</t>
  </si>
  <si>
    <t>酒店参会客户</t>
  </si>
  <si>
    <t>餐饮客户</t>
  </si>
  <si>
    <t xml:space="preserve">备注：展览主承办、(酒店）会议主办、会展服务商、参展商、专业观众、（酒店）参会人员的餐饮服务为二级指标，其余为一级指标；餐饮客户类型无产品服务与配套服务；酒店住宿客户及旅游客户无配套服务。
</t>
  </si>
  <si>
    <t>杭博客户类型重要性情况表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</si>
</sst>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b/>
      <sz val="12"/>
      <color theme="1"/>
      <name val="楷体"/>
      <family val="3"/>
      <charset val="134"/>
    </font>
    <font>
      <b/>
      <sz val="12"/>
      <color rgb="FF000000"/>
      <name val="楷体"/>
      <family val="3"/>
      <charset val="134"/>
    </font>
    <font>
      <b/>
      <sz val="12"/>
      <color rgb="FF000000"/>
      <name val="仿宋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76195562608724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9E1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qw/Desktop/&#26477;&#21338;&#26376;&#25253;/&#26376;&#25253;&#27169;&#29256;&#65288;&#25968;&#25454;+&#38647;&#36798;&#22270;&#65289;/1.&#23637;&#35272;&#36807;&#31243;&#20998;&#26512;(&#23637;&#35272;&#20027;&#25215;&#21150;+&#21442;&#23637;&#21830;+&#19987;&#19994;&#35266;&#20247;&#65289;.xlsx" TargetMode="External"/><Relationship Id="rId1" Type="http://schemas.openxmlformats.org/officeDocument/2006/relationships/externalLinkPath" Target="1.&#23637;&#35272;&#36807;&#31243;&#20998;&#26512;(&#23637;&#35272;&#20027;&#25215;&#21150;+&#21442;&#23637;&#21830;+&#19987;&#19994;&#35266;&#20247;&#65289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qw/Desktop/&#26477;&#21338;&#26376;&#25253;/&#26376;&#25253;&#27169;&#29256;&#65288;&#25968;&#25454;+&#38647;&#36798;&#22270;&#65289;/2.&#20250;&#23637;&#26381;&#21153;&#21830;&#36807;&#31243;&#20998;&#26512;.xlsx" TargetMode="External"/><Relationship Id="rId1" Type="http://schemas.openxmlformats.org/officeDocument/2006/relationships/externalLinkPath" Target="2.&#20250;&#23637;&#26381;&#21153;&#21830;&#36807;&#31243;&#20998;&#26512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qw/Desktop/&#26477;&#21338;&#26376;&#25253;/&#26376;&#25253;&#27169;&#29256;&#65288;&#25968;&#25454;+&#38647;&#36798;&#22270;&#65289;/&#20250;&#35758;&#36807;&#31243;&#20998;&#26512;.xlsx" TargetMode="External"/><Relationship Id="rId1" Type="http://schemas.openxmlformats.org/officeDocument/2006/relationships/externalLinkPath" Target="&#20250;&#35758;&#36807;&#31243;&#20998;&#26512;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qw/Desktop/&#26477;&#21338;&#26376;&#25253;/&#26376;&#25253;&#27169;&#29256;&#65288;&#25968;&#25454;+&#38647;&#36798;&#22270;&#65289;/&#39184;&#39278;&#36807;&#31243;&#20998;&#26512;.xlsx" TargetMode="External"/><Relationship Id="rId1" Type="http://schemas.openxmlformats.org/officeDocument/2006/relationships/externalLinkPath" Target="&#39184;&#39278;&#36807;&#31243;&#20998;&#26512;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qw/Desktop/&#26477;&#21338;&#26376;&#25253;/&#26376;&#25253;&#27169;&#29256;&#65288;&#25968;&#25454;+&#38647;&#36798;&#22270;&#65289;/&#26053;&#28216;&#36807;&#31243;&#20998;&#26512;.xlsx" TargetMode="External"/><Relationship Id="rId1" Type="http://schemas.openxmlformats.org/officeDocument/2006/relationships/externalLinkPath" Target="&#26053;&#28216;&#36807;&#31243;&#20998;&#26512;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qw/Desktop/&#26477;&#21338;&#26376;&#25253;/&#26376;&#25253;&#27169;&#29256;&#65288;&#25968;&#25454;+&#38647;&#36798;&#22270;&#65289;/&#37202;&#24215;&#36807;&#31243;&#20998;&#26512;.xlsx" TargetMode="External"/><Relationship Id="rId1" Type="http://schemas.openxmlformats.org/officeDocument/2006/relationships/externalLinkPath" Target="&#37202;&#24215;&#36807;&#31243;&#20998;&#265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问卷数据"/>
      <sheetName val="展览主承办"/>
      <sheetName val="参展商"/>
      <sheetName val="专业观众"/>
    </sheetNames>
    <sheetDataSet>
      <sheetData sheetId="0"/>
      <sheetData sheetId="1">
        <row r="3">
          <cell r="C3" t="str">
            <v/>
          </cell>
          <cell r="D3" t="str">
            <v/>
          </cell>
        </row>
        <row r="5">
          <cell r="C5" t="str">
            <v/>
          </cell>
          <cell r="D5" t="str">
            <v/>
          </cell>
        </row>
        <row r="21">
          <cell r="C21" t="str">
            <v/>
          </cell>
          <cell r="D21" t="str">
            <v/>
          </cell>
        </row>
        <row r="29">
          <cell r="C29" t="str">
            <v/>
          </cell>
          <cell r="D29" t="str">
            <v/>
          </cell>
        </row>
        <row r="30">
          <cell r="C30" t="str">
            <v/>
          </cell>
          <cell r="D30" t="str">
            <v/>
          </cell>
        </row>
        <row r="34">
          <cell r="C34" t="str">
            <v/>
          </cell>
          <cell r="D34" t="str">
            <v/>
          </cell>
        </row>
      </sheetData>
      <sheetData sheetId="2">
        <row r="3">
          <cell r="C3" t="str">
            <v/>
          </cell>
          <cell r="D3" t="str">
            <v/>
          </cell>
        </row>
        <row r="5">
          <cell r="C5" t="str">
            <v/>
          </cell>
          <cell r="D5" t="str">
            <v/>
          </cell>
        </row>
        <row r="11">
          <cell r="C11" t="str">
            <v/>
          </cell>
          <cell r="D11" t="str">
            <v/>
          </cell>
        </row>
        <row r="18">
          <cell r="C18" t="str">
            <v/>
          </cell>
          <cell r="D18" t="str">
            <v/>
          </cell>
        </row>
        <row r="19">
          <cell r="C19" t="str">
            <v/>
          </cell>
          <cell r="D19" t="str">
            <v/>
          </cell>
        </row>
        <row r="23">
          <cell r="C23" t="str">
            <v/>
          </cell>
          <cell r="D23" t="str">
            <v/>
          </cell>
        </row>
      </sheetData>
      <sheetData sheetId="3">
        <row r="3">
          <cell r="C3" t="str">
            <v/>
          </cell>
          <cell r="D3" t="str">
            <v/>
          </cell>
        </row>
        <row r="5">
          <cell r="C5" t="str">
            <v/>
          </cell>
          <cell r="D5" t="str">
            <v/>
          </cell>
        </row>
        <row r="10">
          <cell r="C10" t="str">
            <v/>
          </cell>
          <cell r="D10" t="str">
            <v/>
          </cell>
        </row>
        <row r="18">
          <cell r="C18" t="str">
            <v/>
          </cell>
          <cell r="D18" t="str">
            <v/>
          </cell>
        </row>
        <row r="19">
          <cell r="C19" t="str">
            <v/>
          </cell>
          <cell r="D19" t="str">
            <v/>
          </cell>
        </row>
        <row r="23">
          <cell r="C23" t="str">
            <v/>
          </cell>
          <cell r="D23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数据"/>
      <sheetName val="会展服务商"/>
    </sheetNames>
    <sheetDataSet>
      <sheetData sheetId="0"/>
      <sheetData sheetId="1">
        <row r="3">
          <cell r="C3" t="str">
            <v/>
          </cell>
          <cell r="D3" t="str">
            <v/>
          </cell>
        </row>
        <row r="5">
          <cell r="C5" t="str">
            <v/>
          </cell>
          <cell r="D5" t="str">
            <v/>
          </cell>
        </row>
        <row r="19">
          <cell r="C19" t="str">
            <v/>
          </cell>
          <cell r="D19" t="str">
            <v/>
          </cell>
        </row>
        <row r="28">
          <cell r="C28" t="str">
            <v/>
          </cell>
          <cell r="D28" t="str">
            <v/>
          </cell>
        </row>
        <row r="29">
          <cell r="C29" t="str">
            <v/>
          </cell>
          <cell r="D29" t="str">
            <v/>
          </cell>
        </row>
        <row r="33">
          <cell r="C33" t="str">
            <v/>
          </cell>
          <cell r="D33" t="str">
            <v/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问卷数据"/>
      <sheetName val="参会 会议主承办 酒店会议主承办"/>
    </sheetNames>
    <sheetDataSet>
      <sheetData sheetId="0"/>
      <sheetData sheetId="1">
        <row r="4">
          <cell r="D4" t="str">
            <v/>
          </cell>
          <cell r="E4" t="str">
            <v/>
          </cell>
          <cell r="L4" t="str">
            <v/>
          </cell>
          <cell r="M4" t="str">
            <v/>
          </cell>
          <cell r="R4" t="str">
            <v/>
          </cell>
          <cell r="S4" t="str">
            <v/>
          </cell>
          <cell r="W4" t="str">
            <v/>
          </cell>
          <cell r="X4" t="str">
            <v/>
          </cell>
        </row>
        <row r="6">
          <cell r="D6" t="str">
            <v/>
          </cell>
          <cell r="E6" t="str">
            <v/>
          </cell>
          <cell r="L6" t="str">
            <v/>
          </cell>
          <cell r="M6" t="str">
            <v/>
          </cell>
          <cell r="R6" t="str">
            <v/>
          </cell>
          <cell r="S6" t="str">
            <v/>
          </cell>
          <cell r="W6" t="str">
            <v/>
          </cell>
          <cell r="X6" t="str">
            <v/>
          </cell>
        </row>
        <row r="12">
          <cell r="D12" t="str">
            <v/>
          </cell>
          <cell r="E12" t="str">
            <v/>
          </cell>
          <cell r="W12" t="str">
            <v/>
          </cell>
          <cell r="X12" t="str">
            <v/>
          </cell>
        </row>
        <row r="21">
          <cell r="D21" t="str">
            <v/>
          </cell>
          <cell r="E21" t="str">
            <v/>
          </cell>
          <cell r="W21" t="str">
            <v/>
          </cell>
          <cell r="X21" t="str">
            <v/>
          </cell>
        </row>
        <row r="22">
          <cell r="D22" t="str">
            <v/>
          </cell>
          <cell r="E22" t="str">
            <v/>
          </cell>
          <cell r="W22" t="str">
            <v/>
          </cell>
          <cell r="X22" t="str">
            <v/>
          </cell>
        </row>
        <row r="23">
          <cell r="L23" t="str">
            <v/>
          </cell>
          <cell r="M23" t="str">
            <v/>
          </cell>
          <cell r="R23" t="str">
            <v/>
          </cell>
          <cell r="S23" t="str">
            <v/>
          </cell>
        </row>
        <row r="26">
          <cell r="D26" t="str">
            <v/>
          </cell>
          <cell r="E26" t="str">
            <v/>
          </cell>
          <cell r="W26" t="str">
            <v/>
          </cell>
          <cell r="X26" t="str">
            <v/>
          </cell>
        </row>
        <row r="32">
          <cell r="L32" t="str">
            <v/>
          </cell>
          <cell r="M32" t="str">
            <v/>
          </cell>
          <cell r="R32" t="str">
            <v/>
          </cell>
          <cell r="S32" t="str">
            <v/>
          </cell>
        </row>
        <row r="33">
          <cell r="L33" t="str">
            <v/>
          </cell>
          <cell r="M33" t="str">
            <v/>
          </cell>
          <cell r="R33" t="str">
            <v/>
          </cell>
          <cell r="S33" t="str">
            <v/>
          </cell>
        </row>
        <row r="37">
          <cell r="L37" t="str">
            <v/>
          </cell>
          <cell r="M37" t="str">
            <v/>
          </cell>
          <cell r="R37" t="str">
            <v/>
          </cell>
          <cell r="S37" t="str">
            <v/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问卷数据"/>
      <sheetName val="特色美食廊"/>
      <sheetName val="商务简餐"/>
      <sheetName val="宴会"/>
      <sheetName val="婚宴"/>
      <sheetName val="自助餐"/>
      <sheetName val="酒店宴会"/>
      <sheetName val="酒店自助餐"/>
    </sheetNames>
    <sheetDataSet>
      <sheetData sheetId="0"/>
      <sheetData sheetId="1">
        <row r="5">
          <cell r="C5" t="str">
            <v/>
          </cell>
          <cell r="D5" t="str">
            <v/>
          </cell>
        </row>
        <row r="7">
          <cell r="C7" t="str">
            <v/>
          </cell>
          <cell r="D7" t="str">
            <v/>
          </cell>
        </row>
        <row r="15">
          <cell r="C15" t="str">
            <v/>
          </cell>
          <cell r="D15" t="str">
            <v/>
          </cell>
        </row>
        <row r="19">
          <cell r="C19" t="str">
            <v/>
          </cell>
          <cell r="D19" t="str">
            <v/>
          </cell>
        </row>
      </sheetData>
      <sheetData sheetId="2">
        <row r="3">
          <cell r="D3" t="str">
            <v/>
          </cell>
          <cell r="E3" t="str">
            <v/>
          </cell>
        </row>
        <row r="5">
          <cell r="D5" t="str">
            <v/>
          </cell>
          <cell r="E5" t="str">
            <v/>
          </cell>
        </row>
        <row r="13">
          <cell r="D13" t="str">
            <v/>
          </cell>
          <cell r="E13" t="str">
            <v/>
          </cell>
        </row>
        <row r="17">
          <cell r="D17" t="str">
            <v/>
          </cell>
          <cell r="E17" t="str">
            <v/>
          </cell>
        </row>
      </sheetData>
      <sheetData sheetId="3">
        <row r="3">
          <cell r="D3" t="str">
            <v/>
          </cell>
          <cell r="E3" t="str">
            <v/>
          </cell>
        </row>
        <row r="5">
          <cell r="D5" t="str">
            <v/>
          </cell>
          <cell r="E5" t="str">
            <v/>
          </cell>
        </row>
        <row r="15">
          <cell r="D15" t="str">
            <v/>
          </cell>
          <cell r="E15" t="str">
            <v/>
          </cell>
        </row>
        <row r="20">
          <cell r="D20" t="str">
            <v/>
          </cell>
          <cell r="E20" t="str">
            <v/>
          </cell>
        </row>
      </sheetData>
      <sheetData sheetId="4">
        <row r="4">
          <cell r="D4" t="str">
            <v/>
          </cell>
          <cell r="E4" t="str">
            <v/>
          </cell>
        </row>
        <row r="6">
          <cell r="D6" t="str">
            <v/>
          </cell>
          <cell r="E6" t="str">
            <v/>
          </cell>
        </row>
        <row r="18">
          <cell r="D18" t="str">
            <v/>
          </cell>
          <cell r="E18" t="str">
            <v/>
          </cell>
        </row>
        <row r="23">
          <cell r="D23" t="str">
            <v/>
          </cell>
          <cell r="E23" t="str">
            <v/>
          </cell>
        </row>
      </sheetData>
      <sheetData sheetId="5">
        <row r="3">
          <cell r="D3" t="str">
            <v/>
          </cell>
          <cell r="E3" t="str">
            <v/>
          </cell>
        </row>
        <row r="5">
          <cell r="D5" t="str">
            <v/>
          </cell>
          <cell r="E5" t="str">
            <v/>
          </cell>
        </row>
        <row r="14">
          <cell r="D14" t="str">
            <v/>
          </cell>
          <cell r="E14" t="str">
            <v/>
          </cell>
        </row>
        <row r="18">
          <cell r="D18" t="str">
            <v/>
          </cell>
          <cell r="E18" t="str">
            <v/>
          </cell>
        </row>
      </sheetData>
      <sheetData sheetId="6"/>
      <sheetData sheetId="7">
        <row r="27">
          <cell r="I27" t="str">
            <v>指标</v>
          </cell>
        </row>
        <row r="28">
          <cell r="J28" t="str">
            <v/>
          </cell>
          <cell r="K28" t="str">
            <v/>
          </cell>
          <cell r="L28" t="str">
            <v/>
          </cell>
        </row>
        <row r="30">
          <cell r="J30" t="str">
            <v/>
          </cell>
          <cell r="K30" t="str">
            <v/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问卷数据"/>
      <sheetName val="散客及旅行社工作人员"/>
    </sheetNames>
    <sheetDataSet>
      <sheetData sheetId="0"/>
      <sheetData sheetId="1">
        <row r="2">
          <cell r="D2" t="str">
            <v/>
          </cell>
          <cell r="E2" t="str">
            <v/>
          </cell>
          <cell r="K2" t="str">
            <v/>
          </cell>
          <cell r="L2" t="str">
            <v/>
          </cell>
        </row>
        <row r="4">
          <cell r="D4" t="str">
            <v/>
          </cell>
          <cell r="E4" t="str">
            <v/>
          </cell>
          <cell r="K4" t="str">
            <v/>
          </cell>
          <cell r="L4" t="str">
            <v/>
          </cell>
        </row>
        <row r="12">
          <cell r="D12" t="str">
            <v/>
          </cell>
          <cell r="E12" t="str">
            <v/>
          </cell>
          <cell r="K12" t="str">
            <v/>
          </cell>
          <cell r="L12" t="str">
            <v/>
          </cell>
        </row>
        <row r="16">
          <cell r="D16" t="str">
            <v/>
          </cell>
          <cell r="E16" t="str">
            <v/>
          </cell>
          <cell r="K16" t="str">
            <v/>
          </cell>
          <cell r="L16" t="str">
            <v/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问卷数据"/>
      <sheetName val="酒店散客 住宿团队"/>
    </sheetNames>
    <sheetDataSet>
      <sheetData sheetId="0"/>
      <sheetData sheetId="1">
        <row r="3">
          <cell r="C3" t="str">
            <v/>
          </cell>
          <cell r="D3" t="str">
            <v/>
          </cell>
          <cell r="L3" t="str">
            <v/>
          </cell>
          <cell r="M3" t="str">
            <v/>
          </cell>
        </row>
        <row r="5">
          <cell r="C5" t="str">
            <v/>
          </cell>
          <cell r="D5" t="str">
            <v/>
          </cell>
          <cell r="L5" t="str">
            <v/>
          </cell>
          <cell r="M5" t="str">
            <v/>
          </cell>
        </row>
        <row r="14">
          <cell r="C14" t="str">
            <v/>
          </cell>
          <cell r="D14" t="str">
            <v/>
          </cell>
          <cell r="L14" t="str">
            <v/>
          </cell>
          <cell r="M14" t="str">
            <v/>
          </cell>
        </row>
        <row r="22">
          <cell r="C22" t="str">
            <v/>
          </cell>
          <cell r="D22" t="str">
            <v/>
          </cell>
          <cell r="L22" t="str">
            <v/>
          </cell>
          <cell r="M22" t="str">
            <v/>
          </cell>
        </row>
        <row r="27">
          <cell r="C27" t="str">
            <v/>
          </cell>
          <cell r="D27" t="str">
            <v/>
          </cell>
          <cell r="L27" t="str">
            <v/>
          </cell>
          <cell r="M27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T51"/>
  <sheetViews>
    <sheetView showFormulas="1" zoomScale="53" zoomScaleNormal="53" workbookViewId="0">
      <selection activeCell="E23" sqref="E23"/>
    </sheetView>
  </sheetViews>
  <sheetFormatPr baseColWidth="10" defaultColWidth="9" defaultRowHeight="14"/>
  <cols>
    <col min="3" max="3" width="23.5" customWidth="1"/>
    <col min="4" max="4" width="29" style="1" customWidth="1"/>
    <col min="5" max="5" width="9.6640625" style="1"/>
    <col min="6" max="6" width="14.33203125" style="1" customWidth="1"/>
    <col min="7" max="7" width="13.6640625" style="1" customWidth="1"/>
    <col min="8" max="8" width="11.6640625" style="1" customWidth="1"/>
    <col min="9" max="9" width="17.6640625" style="1" customWidth="1"/>
    <col min="10" max="10" width="12.33203125" style="1" customWidth="1"/>
    <col min="14" max="14" width="25.83203125" customWidth="1"/>
  </cols>
  <sheetData>
    <row r="1" spans="3:20" ht="14.5" customHeight="1"/>
    <row r="2" spans="3:20" ht="15.75" customHeight="1"/>
    <row r="3" spans="3:20" ht="21" customHeight="1">
      <c r="C3" s="11" t="s">
        <v>0</v>
      </c>
      <c r="D3" s="11"/>
      <c r="E3" s="11"/>
      <c r="F3" s="11"/>
      <c r="G3" s="11"/>
      <c r="H3" s="11"/>
      <c r="I3" s="11"/>
      <c r="J3" s="11"/>
    </row>
    <row r="4" spans="3:20" s="1" customFormat="1" ht="20.25" customHeight="1">
      <c r="C4" s="12" t="s">
        <v>1</v>
      </c>
      <c r="D4" s="12"/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M4"/>
      <c r="N4"/>
      <c r="O4"/>
      <c r="P4"/>
      <c r="Q4"/>
      <c r="R4"/>
      <c r="S4"/>
      <c r="T4"/>
    </row>
    <row r="5" spans="3:20" ht="20.25" customHeight="1">
      <c r="C5" s="16" t="s">
        <v>8</v>
      </c>
      <c r="D5" s="3" t="s">
        <v>9</v>
      </c>
      <c r="E5" s="4" t="str">
        <f>[1]展览主承办!$C$3</f>
        <v/>
      </c>
      <c r="F5" s="4" t="str">
        <f>[1]展览主承办!$C$5</f>
        <v/>
      </c>
      <c r="G5" s="4" t="str">
        <f>[1]展览主承办!$C$21</f>
        <v/>
      </c>
      <c r="H5" s="4" t="str">
        <f>[1]展览主承办!$C$29</f>
        <v/>
      </c>
      <c r="I5" s="4" t="str">
        <f>[1]展览主承办!$C$34</f>
        <v/>
      </c>
      <c r="J5" s="4" t="str">
        <f>[1]展览主承办!$C$30</f>
        <v/>
      </c>
    </row>
    <row r="6" spans="3:20" ht="20.25" customHeight="1">
      <c r="C6" s="16"/>
      <c r="D6" s="3" t="s">
        <v>10</v>
      </c>
      <c r="E6" s="4" t="str">
        <f>[1]参展商!$C$3</f>
        <v/>
      </c>
      <c r="F6" s="4" t="str">
        <f>[1]参展商!$C$5</f>
        <v/>
      </c>
      <c r="G6" s="4" t="str">
        <f>[1]参展商!$C$11</f>
        <v/>
      </c>
      <c r="H6" s="4" t="str">
        <f>[1]参展商!$C$18</f>
        <v/>
      </c>
      <c r="I6" s="4" t="str">
        <f>[1]参展商!$C$23</f>
        <v/>
      </c>
      <c r="J6" s="4" t="str">
        <f>[1]参展商!$C$19</f>
        <v/>
      </c>
    </row>
    <row r="7" spans="3:20" ht="20.25" customHeight="1">
      <c r="C7" s="16"/>
      <c r="D7" s="3" t="s">
        <v>11</v>
      </c>
      <c r="E7" s="4" t="str">
        <f>[1]专业观众!$C$3</f>
        <v/>
      </c>
      <c r="F7" s="4" t="str">
        <f>[1]专业观众!$C$5</f>
        <v/>
      </c>
      <c r="G7" s="4" t="str">
        <f>[1]专业观众!$C$10</f>
        <v/>
      </c>
      <c r="H7" s="4" t="str">
        <f>[1]专业观众!$C$18</f>
        <v/>
      </c>
      <c r="I7" s="4" t="str">
        <f>[1]专业观众!$C$23</f>
        <v/>
      </c>
      <c r="J7" s="4" t="str">
        <f>[1]专业观众!$C$19</f>
        <v/>
      </c>
    </row>
    <row r="8" spans="3:20" ht="20.25" customHeight="1">
      <c r="C8" s="16"/>
      <c r="D8" s="3" t="s">
        <v>12</v>
      </c>
      <c r="E8" s="4" t="str">
        <f>[2]会展服务商!$C$3</f>
        <v/>
      </c>
      <c r="F8" s="4" t="str">
        <f>[2]会展服务商!$C$5</f>
        <v/>
      </c>
      <c r="G8" s="4" t="str">
        <f>[2]会展服务商!$C$19</f>
        <v/>
      </c>
      <c r="H8" s="4" t="str">
        <f>[2]会展服务商!$C$28</f>
        <v/>
      </c>
      <c r="I8" s="4" t="str">
        <f>[2]会展服务商!$C$33</f>
        <v/>
      </c>
      <c r="J8" s="4" t="str">
        <f>[2]会展服务商!$C$29</f>
        <v/>
      </c>
    </row>
    <row r="9" spans="3:20" ht="20.25" customHeight="1">
      <c r="C9" s="16"/>
      <c r="D9" s="3" t="s">
        <v>13</v>
      </c>
      <c r="E9" s="4" t="str">
        <f>'[3]参会 会议主承办 酒店会议主承办'!$L$4</f>
        <v/>
      </c>
      <c r="F9" s="4" t="str">
        <f>'[3]参会 会议主承办 酒店会议主承办'!$L$6</f>
        <v/>
      </c>
      <c r="G9" s="4" t="str">
        <f>'[3]参会 会议主承办 酒店会议主承办'!$L$23</f>
        <v/>
      </c>
      <c r="H9" s="4" t="str">
        <f>'[3]参会 会议主承办 酒店会议主承办'!$L$32</f>
        <v/>
      </c>
      <c r="I9" s="4" t="str">
        <f>'[3]参会 会议主承办 酒店会议主承办'!$L$37</f>
        <v/>
      </c>
      <c r="J9" s="4" t="str">
        <f>'[3]参会 会议主承办 酒店会议主承办'!$L$33</f>
        <v/>
      </c>
    </row>
    <row r="10" spans="3:20" ht="20.25" customHeight="1">
      <c r="C10" s="16"/>
      <c r="D10" s="3" t="s">
        <v>14</v>
      </c>
      <c r="E10" s="4" t="str">
        <f>'[3]参会 会议主承办 酒店会议主承办'!$D$4</f>
        <v/>
      </c>
      <c r="F10" s="4" t="str">
        <f>'[3]参会 会议主承办 酒店会议主承办'!$D$6</f>
        <v/>
      </c>
      <c r="G10" s="4" t="str">
        <f>'[3]参会 会议主承办 酒店会议主承办'!$D$12</f>
        <v/>
      </c>
      <c r="H10" s="4" t="str">
        <f>'[3]参会 会议主承办 酒店会议主承办'!$D$21</f>
        <v/>
      </c>
      <c r="I10" s="4" t="str">
        <f>'[3]参会 会议主承办 酒店会议主承办'!$D$26</f>
        <v/>
      </c>
      <c r="J10" s="4" t="str">
        <f>'[3]参会 会议主承办 酒店会议主承办'!$D$22</f>
        <v/>
      </c>
    </row>
    <row r="11" spans="3:20" ht="20.25" customHeight="1">
      <c r="C11" s="17" t="s">
        <v>15</v>
      </c>
      <c r="D11" s="3" t="s">
        <v>16</v>
      </c>
      <c r="E11" s="4" t="str">
        <f>[4]商务简餐!$D$3</f>
        <v/>
      </c>
      <c r="F11" s="6"/>
      <c r="G11" s="4" t="str">
        <f>[4]商务简餐!$D$13</f>
        <v/>
      </c>
      <c r="H11" s="6"/>
      <c r="I11" s="4" t="str">
        <f>[4]商务简餐!$D$17</f>
        <v/>
      </c>
      <c r="J11" s="4" t="str">
        <f>[4]商务简餐!$D$5</f>
        <v/>
      </c>
    </row>
    <row r="12" spans="3:20" ht="21" customHeight="1">
      <c r="C12" s="18"/>
      <c r="D12" s="3" t="s">
        <v>17</v>
      </c>
      <c r="E12" s="4" t="str">
        <f>[4]特色美食廊!$C$5</f>
        <v/>
      </c>
      <c r="F12" s="6"/>
      <c r="G12" s="4" t="str">
        <f>[4]特色美食廊!$C$15</f>
        <v/>
      </c>
      <c r="H12" s="6"/>
      <c r="I12" s="4" t="str">
        <f>[4]特色美食廊!$C$19</f>
        <v/>
      </c>
      <c r="J12" s="4" t="str">
        <f>[4]特色美食廊!$C$7</f>
        <v/>
      </c>
    </row>
    <row r="13" spans="3:20" ht="21" customHeight="1">
      <c r="C13" s="18"/>
      <c r="D13" s="7" t="s">
        <v>18</v>
      </c>
      <c r="E13" s="4" t="str">
        <f>[4]宴会!$D$3</f>
        <v/>
      </c>
      <c r="F13" s="6"/>
      <c r="G13" s="4" t="str">
        <f>[4]宴会!$D$15</f>
        <v/>
      </c>
      <c r="H13" s="6"/>
      <c r="I13" s="4" t="str">
        <f>[4]宴会!$D$20</f>
        <v/>
      </c>
      <c r="J13" s="4" t="str">
        <f>[4]宴会!$D$5</f>
        <v/>
      </c>
    </row>
    <row r="14" spans="3:20" ht="21" customHeight="1">
      <c r="C14" s="18"/>
      <c r="D14" s="3" t="s">
        <v>19</v>
      </c>
      <c r="E14" s="4" t="str">
        <f>[4]婚宴!$D$4</f>
        <v/>
      </c>
      <c r="F14" s="6"/>
      <c r="G14" s="4" t="str">
        <f>[4]婚宴!$D$18</f>
        <v/>
      </c>
      <c r="H14" s="6"/>
      <c r="I14" s="4" t="str">
        <f>[4]婚宴!$D$23</f>
        <v/>
      </c>
      <c r="J14" s="4" t="str">
        <f>[4]婚宴!$D$6</f>
        <v/>
      </c>
    </row>
    <row r="15" spans="3:20" ht="21" customHeight="1">
      <c r="C15" s="18"/>
      <c r="D15" s="3" t="s">
        <v>20</v>
      </c>
      <c r="E15" s="4" t="str">
        <f>[4]自助餐!$D$3</f>
        <v/>
      </c>
      <c r="F15" s="6"/>
      <c r="G15" s="4" t="str">
        <f>[4]自助餐!$D$14</f>
        <v/>
      </c>
      <c r="H15" s="6"/>
      <c r="I15" s="4" t="str">
        <f>[4]自助餐!$D$18</f>
        <v/>
      </c>
      <c r="J15" s="4" t="str">
        <f>[4]自助餐!$D$5</f>
        <v/>
      </c>
    </row>
    <row r="16" spans="3:20" ht="21" customHeight="1">
      <c r="C16" s="17" t="s">
        <v>21</v>
      </c>
      <c r="D16" s="5" t="s">
        <v>22</v>
      </c>
      <c r="E16" s="4" t="str">
        <f>[5]散客及旅行社工作人员!$K$2</f>
        <v/>
      </c>
      <c r="F16" s="4" t="str">
        <f>[5]散客及旅行社工作人员!$K$4</f>
        <v/>
      </c>
      <c r="G16" s="4" t="str">
        <f>[5]散客及旅行社工作人员!$K$12</f>
        <v/>
      </c>
      <c r="H16" s="6"/>
      <c r="I16" s="4" t="str">
        <f>[5]散客及旅行社工作人员!$K$16</f>
        <v/>
      </c>
      <c r="J16" s="6"/>
    </row>
    <row r="17" spans="3:10" ht="21" customHeight="1">
      <c r="C17" s="18"/>
      <c r="D17" s="5" t="s">
        <v>23</v>
      </c>
      <c r="E17" t="str">
        <f>[5]散客及旅行社工作人员!$D$2</f>
        <v/>
      </c>
      <c r="F17" s="4" t="str">
        <f>[5]散客及旅行社工作人员!$D$4</f>
        <v/>
      </c>
      <c r="G17" s="4" t="str">
        <f>[5]散客及旅行社工作人员!$D$12</f>
        <v/>
      </c>
      <c r="H17" s="6"/>
      <c r="I17" s="4" t="str">
        <f>[5]散客及旅行社工作人员!$D$16</f>
        <v/>
      </c>
      <c r="J17" s="6"/>
    </row>
    <row r="18" spans="3:10" ht="21" customHeight="1">
      <c r="C18" s="5" t="s">
        <v>24</v>
      </c>
      <c r="D18" s="5"/>
      <c r="E18" s="4"/>
      <c r="F18" s="4"/>
      <c r="G18" s="4"/>
      <c r="H18" s="4"/>
      <c r="I18" s="4"/>
      <c r="J18" s="4"/>
    </row>
    <row r="19" spans="3:10" ht="20.25" customHeight="1">
      <c r="C19" s="17" t="s">
        <v>25</v>
      </c>
      <c r="D19" s="3" t="s">
        <v>26</v>
      </c>
      <c r="E19" s="4" t="str">
        <f>'[6]酒店散客 住宿团队'!$C$3</f>
        <v/>
      </c>
      <c r="F19" s="4" t="str">
        <f>'[6]酒店散客 住宿团队'!$C$14</f>
        <v/>
      </c>
      <c r="G19" s="4" t="str">
        <f>'[6]酒店散客 住宿团队'!$C$5</f>
        <v/>
      </c>
      <c r="H19" s="6"/>
      <c r="I19" s="4" t="str">
        <f>'[6]酒店散客 住宿团队'!$C$27</f>
        <v/>
      </c>
      <c r="J19" s="4" t="str">
        <f>'[6]酒店散客 住宿团队'!$C$22</f>
        <v/>
      </c>
    </row>
    <row r="20" spans="3:10" ht="20.25" customHeight="1">
      <c r="C20" s="18"/>
      <c r="D20" s="3" t="s">
        <v>27</v>
      </c>
      <c r="E20" s="4" t="str">
        <f>'[6]酒店散客 住宿团队'!$L$3</f>
        <v/>
      </c>
      <c r="F20" s="4" t="str">
        <f>'[6]酒店散客 住宿团队'!$L$14</f>
        <v/>
      </c>
      <c r="G20" s="4" t="str">
        <f>'[6]酒店散客 住宿团队'!$L$5</f>
        <v/>
      </c>
      <c r="H20" s="6"/>
      <c r="I20" s="4" t="str">
        <f>'[6]酒店散客 住宿团队'!$L$27</f>
        <v/>
      </c>
      <c r="J20" s="4" t="str">
        <f>'[6]酒店散客 住宿团队'!$L$22</f>
        <v/>
      </c>
    </row>
    <row r="21" spans="3:10" ht="20.25" customHeight="1">
      <c r="C21" s="18"/>
      <c r="D21" s="3" t="s">
        <v>28</v>
      </c>
      <c r="E21" s="4" t="str">
        <f>'[3]参会 会议主承办 酒店会议主承办'!$R$4</f>
        <v/>
      </c>
      <c r="F21" s="4" t="str">
        <f>'[3]参会 会议主承办 酒店会议主承办'!$R$6</f>
        <v/>
      </c>
      <c r="G21" s="4" t="str">
        <f>'[3]参会 会议主承办 酒店会议主承办'!$R$23</f>
        <v/>
      </c>
      <c r="H21" s="4" t="str">
        <f>'[3]参会 会议主承办 酒店会议主承办'!$R$32</f>
        <v/>
      </c>
      <c r="I21" s="4" t="str">
        <f>'[3]参会 会议主承办 酒店会议主承办'!$R$37</f>
        <v/>
      </c>
      <c r="J21" s="4" t="str">
        <f>'[3]参会 会议主承办 酒店会议主承办'!$R$33</f>
        <v/>
      </c>
    </row>
    <row r="22" spans="3:10" ht="20.25" customHeight="1">
      <c r="C22" s="18"/>
      <c r="D22" s="3" t="s">
        <v>29</v>
      </c>
      <c r="E22" s="4" t="str">
        <f>'[3]参会 会议主承办 酒店会议主承办'!$W$4</f>
        <v/>
      </c>
      <c r="F22" s="4" t="str">
        <f>'[3]参会 会议主承办 酒店会议主承办'!$W$6</f>
        <v/>
      </c>
      <c r="G22" s="4" t="str">
        <f>'[3]参会 会议主承办 酒店会议主承办'!$W$12</f>
        <v/>
      </c>
      <c r="H22" s="4" t="str">
        <f>'[3]参会 会议主承办 酒店会议主承办'!$W$21</f>
        <v/>
      </c>
      <c r="I22" s="4" t="str">
        <f>'[3]参会 会议主承办 酒店会议主承办'!$W$26</f>
        <v/>
      </c>
      <c r="J22" s="4" t="str">
        <f>'[3]参会 会议主承办 酒店会议主承办'!$W$22</f>
        <v/>
      </c>
    </row>
    <row r="23" spans="3:10" ht="20.25" customHeight="1">
      <c r="C23" s="19"/>
      <c r="D23" s="8" t="s">
        <v>30</v>
      </c>
      <c r="E23" s="9" t="str">
        <f>[4]酒店自助餐!$J$30</f>
        <v/>
      </c>
      <c r="F23" s="6"/>
      <c r="G23" s="9" t="str">
        <f>[4]酒店自助餐!$K$28</f>
        <v/>
      </c>
      <c r="H23" s="6"/>
      <c r="I23" s="9" t="str">
        <f>[4]酒店自助餐!$L$28</f>
        <v/>
      </c>
      <c r="J23" s="9" t="str">
        <f>[4]酒店自助餐!$J$28</f>
        <v/>
      </c>
    </row>
    <row r="24" spans="3:10" ht="20.25" customHeight="1">
      <c r="C24" s="13" t="s">
        <v>2</v>
      </c>
      <c r="D24" s="13"/>
      <c r="E24" s="10" t="str">
        <f>IFERROR(ROUND(AVERAGE(E5:E23),2),"")</f>
        <v/>
      </c>
      <c r="F24" s="10" t="str">
        <f>IFERROR(ROUND(AVERAGE(F5:F22),2),"")</f>
        <v/>
      </c>
      <c r="G24" s="10" t="str">
        <f>IFERROR(ROUND(AVERAGE(G5:G22),2),"")</f>
        <v/>
      </c>
      <c r="H24" s="10" t="str">
        <f>IFERROR(ROUND(AVERAGE(H5:H22),2),"")</f>
        <v/>
      </c>
      <c r="I24" s="10" t="str">
        <f>IFERROR(ROUND(AVERAGE(I5:I22),2),"")</f>
        <v/>
      </c>
      <c r="J24" s="10" t="str">
        <f>IFERROR(ROUND(AVERAGE(J5:J22,J20:J20),2),"")</f>
        <v/>
      </c>
    </row>
    <row r="25" spans="3:10" ht="36" customHeight="1">
      <c r="C25" s="14" t="s">
        <v>31</v>
      </c>
      <c r="D25" s="15"/>
      <c r="E25" s="15"/>
      <c r="F25" s="15"/>
      <c r="G25" s="15"/>
      <c r="H25" s="15"/>
      <c r="I25" s="15"/>
      <c r="J25" s="15"/>
    </row>
    <row r="33" spans="3:11">
      <c r="C33" s="1"/>
    </row>
    <row r="34" spans="3:11">
      <c r="C34" s="1"/>
    </row>
    <row r="35" spans="3:11">
      <c r="C35" s="1"/>
    </row>
    <row r="36" spans="3:11">
      <c r="C36" s="1"/>
    </row>
    <row r="37" spans="3:11">
      <c r="C37" s="1"/>
    </row>
    <row r="38" spans="3:11">
      <c r="C38" s="1"/>
    </row>
    <row r="39" spans="3:11">
      <c r="C39" s="1"/>
    </row>
    <row r="40" spans="3:11">
      <c r="C40" s="1"/>
    </row>
    <row r="41" spans="3:11">
      <c r="C41" s="1"/>
    </row>
    <row r="42" spans="3:11">
      <c r="C42" s="1"/>
    </row>
    <row r="43" spans="3:11">
      <c r="C43" s="1"/>
    </row>
    <row r="44" spans="3:11">
      <c r="C44" s="1"/>
    </row>
    <row r="45" spans="3:11">
      <c r="C45" s="1"/>
    </row>
    <row r="48" spans="3:11">
      <c r="K48" s="1"/>
    </row>
    <row r="49" spans="11:11">
      <c r="K49" s="1"/>
    </row>
    <row r="50" spans="11:11">
      <c r="K50" s="1"/>
    </row>
    <row r="51" spans="11:11">
      <c r="K51" s="1"/>
    </row>
  </sheetData>
  <mergeCells count="8">
    <mergeCell ref="C3:J3"/>
    <mergeCell ref="C4:D4"/>
    <mergeCell ref="C24:D24"/>
    <mergeCell ref="C25:J25"/>
    <mergeCell ref="C5:C10"/>
    <mergeCell ref="C11:C15"/>
    <mergeCell ref="C16:C17"/>
    <mergeCell ref="C19:C23"/>
  </mergeCells>
  <phoneticPr fontId="4" type="noConversion"/>
  <pageMargins left="0.7" right="0.7" top="0.75" bottom="0.75" header="0.3" footer="0.3"/>
  <pageSetup paperSize="9" orientation="portrait"/>
  <ignoredErrors>
    <ignoredError sqref="E14 J14 G1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C1:T51"/>
  <sheetViews>
    <sheetView tabSelected="1" topLeftCell="B1" zoomScale="64" zoomScaleNormal="64" workbookViewId="0">
      <selection activeCell="E12" sqref="E12"/>
    </sheetView>
  </sheetViews>
  <sheetFormatPr baseColWidth="10" defaultColWidth="9" defaultRowHeight="14"/>
  <cols>
    <col min="3" max="3" width="23.5" customWidth="1"/>
    <col min="4" max="4" width="29" style="1" customWidth="1"/>
    <col min="5" max="5" width="9.6640625" style="1"/>
    <col min="6" max="6" width="14.33203125" style="1" customWidth="1"/>
    <col min="7" max="7" width="13.6640625" style="1" customWidth="1"/>
    <col min="8" max="8" width="11.6640625" style="1" customWidth="1"/>
    <col min="9" max="9" width="17.6640625" style="1" customWidth="1"/>
    <col min="10" max="10" width="12.33203125" style="1" customWidth="1"/>
    <col min="14" max="14" width="25.83203125" customWidth="1"/>
  </cols>
  <sheetData>
    <row r="1" spans="3:20" ht="14.5" customHeight="1"/>
    <row r="2" spans="3:20" ht="15.75" customHeight="1"/>
    <row r="3" spans="3:20" ht="21" customHeight="1">
      <c r="C3" s="11" t="s">
        <v>32</v>
      </c>
      <c r="D3" s="11"/>
      <c r="E3" s="11"/>
      <c r="F3" s="11"/>
      <c r="G3" s="11"/>
      <c r="H3" s="11"/>
      <c r="I3" s="11"/>
      <c r="J3" s="11"/>
    </row>
    <row r="4" spans="3:20" s="1" customFormat="1" ht="20.25" customHeight="1">
      <c r="C4" s="12" t="s">
        <v>1</v>
      </c>
      <c r="D4" s="12"/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M4"/>
      <c r="N4"/>
      <c r="O4"/>
      <c r="P4"/>
      <c r="Q4"/>
      <c r="R4"/>
      <c r="S4"/>
      <c r="T4"/>
    </row>
    <row r="5" spans="3:20" ht="20.25" customHeight="1">
      <c r="C5" s="16" t="s">
        <v>8</v>
      </c>
      <c r="D5" s="3" t="s">
        <v>9</v>
      </c>
      <c r="E5" s="4" t="str">
        <f>[1]展览主承办!$D$3</f>
        <v/>
      </c>
      <c r="F5" s="4" t="str">
        <f>[1]展览主承办!$D$5</f>
        <v/>
      </c>
      <c r="G5" s="4" t="str">
        <f>[1]展览主承办!$D$21</f>
        <v/>
      </c>
      <c r="H5" s="4" t="str">
        <f>[1]展览主承办!$D$29</f>
        <v/>
      </c>
      <c r="I5" s="4" t="str">
        <f>[1]展览主承办!$D$34</f>
        <v/>
      </c>
      <c r="J5" s="4" t="str">
        <f>[1]展览主承办!$D$30</f>
        <v/>
      </c>
    </row>
    <row r="6" spans="3:20" ht="20.25" customHeight="1">
      <c r="C6" s="16"/>
      <c r="D6" s="3" t="s">
        <v>10</v>
      </c>
      <c r="E6" s="4" t="str">
        <f>[1]参展商!$D$3</f>
        <v/>
      </c>
      <c r="F6" s="4" t="str">
        <f>[1]参展商!$D$5</f>
        <v/>
      </c>
      <c r="G6" s="4" t="str">
        <f>[1]参展商!$D$11</f>
        <v/>
      </c>
      <c r="H6" s="4" t="str">
        <f>[1]参展商!$D$18</f>
        <v/>
      </c>
      <c r="I6" s="4" t="str">
        <f>[1]参展商!$D$23</f>
        <v/>
      </c>
      <c r="J6" s="4" t="str">
        <f>[1]参展商!$D$19</f>
        <v/>
      </c>
    </row>
    <row r="7" spans="3:20" ht="20.25" customHeight="1">
      <c r="C7" s="16"/>
      <c r="D7" s="3" t="s">
        <v>11</v>
      </c>
      <c r="E7" s="4" t="str">
        <f>[1]专业观众!$D$3</f>
        <v/>
      </c>
      <c r="F7" s="4" t="str">
        <f>[1]专业观众!$D$5</f>
        <v/>
      </c>
      <c r="G7" s="4" t="str">
        <f>[1]专业观众!$D$10</f>
        <v/>
      </c>
      <c r="H7" s="4" t="str">
        <f>[1]专业观众!$D$18</f>
        <v/>
      </c>
      <c r="I7" s="4" t="str">
        <f>[1]专业观众!$D$23</f>
        <v/>
      </c>
      <c r="J7" s="4" t="str">
        <f>[1]专业观众!$D$19</f>
        <v/>
      </c>
    </row>
    <row r="8" spans="3:20" ht="20.25" customHeight="1">
      <c r="C8" s="16"/>
      <c r="D8" s="3" t="s">
        <v>12</v>
      </c>
      <c r="E8" s="4" t="str">
        <f>[2]会展服务商!$D$3</f>
        <v/>
      </c>
      <c r="F8" s="4" t="str">
        <f>[2]会展服务商!$D$5</f>
        <v/>
      </c>
      <c r="G8" s="4" t="str">
        <f>[2]会展服务商!$D$19</f>
        <v/>
      </c>
      <c r="H8" s="4" t="str">
        <f>[2]会展服务商!$D$28</f>
        <v/>
      </c>
      <c r="I8" s="4" t="str">
        <f>[2]会展服务商!$D$33</f>
        <v/>
      </c>
      <c r="J8" s="4" t="str">
        <f>[2]会展服务商!$D$29</f>
        <v/>
      </c>
    </row>
    <row r="9" spans="3:20" ht="20.25" customHeight="1">
      <c r="C9" s="16"/>
      <c r="D9" s="3" t="s">
        <v>13</v>
      </c>
      <c r="E9" s="4" t="str">
        <f>'[3]参会 会议主承办 酒店会议主承办'!$M$4</f>
        <v/>
      </c>
      <c r="F9" s="4" t="str">
        <f>'[3]参会 会议主承办 酒店会议主承办'!$M$6</f>
        <v/>
      </c>
      <c r="G9" s="4" t="str">
        <f>'[3]参会 会议主承办 酒店会议主承办'!$M$23</f>
        <v/>
      </c>
      <c r="H9" s="4" t="str">
        <f>'[3]参会 会议主承办 酒店会议主承办'!$M$32</f>
        <v/>
      </c>
      <c r="I9" s="4" t="str">
        <f>'[3]参会 会议主承办 酒店会议主承办'!$M$37</f>
        <v/>
      </c>
      <c r="J9" s="4" t="str">
        <f>'[3]参会 会议主承办 酒店会议主承办'!$M$33</f>
        <v/>
      </c>
    </row>
    <row r="10" spans="3:20" ht="20.25" customHeight="1">
      <c r="C10" s="16"/>
      <c r="D10" s="3" t="s">
        <v>14</v>
      </c>
      <c r="E10" s="4" t="str">
        <f>'[3]参会 会议主承办 酒店会议主承办'!$E$4</f>
        <v/>
      </c>
      <c r="F10" s="4" t="str">
        <f>'[3]参会 会议主承办 酒店会议主承办'!$E$6</f>
        <v/>
      </c>
      <c r="G10" s="4" t="str">
        <f>'[3]参会 会议主承办 酒店会议主承办'!$E$12</f>
        <v/>
      </c>
      <c r="H10" s="4" t="str">
        <f>'[3]参会 会议主承办 酒店会议主承办'!$E$21</f>
        <v/>
      </c>
      <c r="I10" s="4" t="str">
        <f>'[3]参会 会议主承办 酒店会议主承办'!$E$26</f>
        <v/>
      </c>
      <c r="J10" s="4" t="str">
        <f>'[3]参会 会议主承办 酒店会议主承办'!$E$22</f>
        <v/>
      </c>
    </row>
    <row r="11" spans="3:20" ht="20.25" customHeight="1">
      <c r="C11" s="17" t="s">
        <v>15</v>
      </c>
      <c r="D11" s="3" t="s">
        <v>16</v>
      </c>
      <c r="E11" s="4" t="str">
        <f>[4]商务简餐!$E$3</f>
        <v/>
      </c>
      <c r="F11" s="6"/>
      <c r="G11" s="4" t="str">
        <f>[4]商务简餐!$E$13</f>
        <v/>
      </c>
      <c r="H11" s="6"/>
      <c r="I11" s="4" t="str">
        <f>[4]商务简餐!$E$17</f>
        <v/>
      </c>
      <c r="J11" s="4" t="str">
        <f>[4]商务简餐!$E$5</f>
        <v/>
      </c>
    </row>
    <row r="12" spans="3:20" ht="21" customHeight="1">
      <c r="C12" s="18"/>
      <c r="D12" s="3" t="s">
        <v>17</v>
      </c>
      <c r="E12" s="4" t="str">
        <f>[4]特色美食廊!$D$5</f>
        <v/>
      </c>
      <c r="F12" s="6"/>
      <c r="G12" s="4" t="str">
        <f>[4]特色美食廊!$D$15</f>
        <v/>
      </c>
      <c r="H12" s="6"/>
      <c r="I12" s="4" t="str">
        <f>[4]特色美食廊!$D$19</f>
        <v/>
      </c>
      <c r="J12" s="4" t="str">
        <f>[4]特色美食廊!$D$7</f>
        <v/>
      </c>
    </row>
    <row r="13" spans="3:20" ht="21" customHeight="1">
      <c r="C13" s="18"/>
      <c r="D13" s="7" t="s">
        <v>18</v>
      </c>
      <c r="E13" s="4" t="str">
        <f>[4]宴会!$E$3</f>
        <v/>
      </c>
      <c r="F13" s="6"/>
      <c r="G13" s="4" t="str">
        <f>[4]宴会!$E$15</f>
        <v/>
      </c>
      <c r="H13" s="6"/>
      <c r="I13" s="4" t="str">
        <f>[4]宴会!$E$20</f>
        <v/>
      </c>
      <c r="J13" s="4" t="str">
        <f>[4]宴会!$E$5</f>
        <v/>
      </c>
    </row>
    <row r="14" spans="3:20" ht="21" customHeight="1">
      <c r="C14" s="18"/>
      <c r="D14" s="3" t="s">
        <v>19</v>
      </c>
      <c r="E14" s="4" t="str">
        <f>[4]婚宴!$E$4</f>
        <v/>
      </c>
      <c r="F14" s="6"/>
      <c r="G14" s="4" t="str">
        <f>[4]婚宴!$E$18</f>
        <v/>
      </c>
      <c r="H14" s="6"/>
      <c r="I14" s="4" t="str">
        <f>[4]婚宴!$E$23</f>
        <v/>
      </c>
      <c r="J14" s="4" t="str">
        <f>[4]婚宴!$E$6</f>
        <v/>
      </c>
    </row>
    <row r="15" spans="3:20" ht="21" customHeight="1">
      <c r="C15" s="18"/>
      <c r="D15" s="3" t="s">
        <v>20</v>
      </c>
      <c r="E15" s="4" t="str">
        <f>[4]自助餐!$E$3</f>
        <v/>
      </c>
      <c r="F15" s="6"/>
      <c r="G15" s="4" t="str">
        <f>[4]自助餐!$E$14</f>
        <v/>
      </c>
      <c r="H15" s="6"/>
      <c r="I15" s="4" t="str">
        <f>[4]自助餐!$E$18</f>
        <v/>
      </c>
      <c r="J15" s="4" t="str">
        <f>[4]自助餐!$E$5</f>
        <v/>
      </c>
    </row>
    <row r="16" spans="3:20" ht="21" customHeight="1">
      <c r="C16" s="17" t="s">
        <v>21</v>
      </c>
      <c r="D16" s="5" t="s">
        <v>22</v>
      </c>
      <c r="E16" s="4" t="str">
        <f>[5]散客及旅行社工作人员!$L$2</f>
        <v/>
      </c>
      <c r="F16" s="4" t="str">
        <f>[5]散客及旅行社工作人员!$L$4</f>
        <v/>
      </c>
      <c r="G16" s="4" t="str">
        <f>[5]散客及旅行社工作人员!$L$12</f>
        <v/>
      </c>
      <c r="H16" s="6"/>
      <c r="I16" s="4" t="str">
        <f>[5]散客及旅行社工作人员!$L$16</f>
        <v/>
      </c>
      <c r="J16" s="6"/>
    </row>
    <row r="17" spans="3:10" ht="21" customHeight="1">
      <c r="C17" s="18"/>
      <c r="D17" s="5" t="s">
        <v>23</v>
      </c>
      <c r="E17" t="str">
        <f>[5]散客及旅行社工作人员!$E$2</f>
        <v/>
      </c>
      <c r="F17" s="4" t="str">
        <f>[5]散客及旅行社工作人员!$E$4</f>
        <v/>
      </c>
      <c r="G17" s="4" t="str">
        <f>[5]散客及旅行社工作人员!$E$12</f>
        <v/>
      </c>
      <c r="H17" s="6"/>
      <c r="I17" s="4" t="str">
        <f>[5]散客及旅行社工作人员!$E$16</f>
        <v/>
      </c>
      <c r="J17" s="6"/>
    </row>
    <row r="18" spans="3:10" ht="21" customHeight="1">
      <c r="C18" s="5" t="s">
        <v>24</v>
      </c>
      <c r="D18" s="5"/>
      <c r="E18" s="4"/>
      <c r="F18" s="4"/>
      <c r="G18" s="4"/>
      <c r="H18" s="4"/>
      <c r="I18" s="4"/>
      <c r="J18" s="4"/>
    </row>
    <row r="19" spans="3:10" ht="20.25" customHeight="1">
      <c r="C19" s="17" t="s">
        <v>25</v>
      </c>
      <c r="D19" s="3" t="s">
        <v>26</v>
      </c>
      <c r="E19" s="4" t="str">
        <f>'[6]酒店散客 住宿团队'!$D$3</f>
        <v/>
      </c>
      <c r="F19" s="4" t="str">
        <f>'[6]酒店散客 住宿团队'!$D$14</f>
        <v/>
      </c>
      <c r="G19" s="4" t="str">
        <f>'[6]酒店散客 住宿团队'!$D$5</f>
        <v/>
      </c>
      <c r="H19" s="6"/>
      <c r="I19" s="4" t="str">
        <f>'[6]酒店散客 住宿团队'!$D$27</f>
        <v/>
      </c>
      <c r="J19" s="4" t="str">
        <f>'[6]酒店散客 住宿团队'!$D$22</f>
        <v/>
      </c>
    </row>
    <row r="20" spans="3:10" ht="20.25" customHeight="1">
      <c r="C20" s="18"/>
      <c r="D20" s="3" t="s">
        <v>27</v>
      </c>
      <c r="E20" s="4" t="str">
        <f>'[6]酒店散客 住宿团队'!$M$3</f>
        <v/>
      </c>
      <c r="F20" s="4" t="str">
        <f>'[6]酒店散客 住宿团队'!$M$14</f>
        <v/>
      </c>
      <c r="G20" s="4" t="str">
        <f>'[6]酒店散客 住宿团队'!$M$5</f>
        <v/>
      </c>
      <c r="H20" s="6"/>
      <c r="I20" s="4" t="str">
        <f>'[6]酒店散客 住宿团队'!$M$27</f>
        <v/>
      </c>
      <c r="J20" s="4" t="str">
        <f>'[6]酒店散客 住宿团队'!$M$22</f>
        <v/>
      </c>
    </row>
    <row r="21" spans="3:10" ht="20.25" customHeight="1">
      <c r="C21" s="18"/>
      <c r="D21" s="3" t="s">
        <v>28</v>
      </c>
      <c r="E21" s="4" t="str">
        <f>'[3]参会 会议主承办 酒店会议主承办'!$S$4</f>
        <v/>
      </c>
      <c r="F21" s="4" t="str">
        <f>'[3]参会 会议主承办 酒店会议主承办'!$S$6</f>
        <v/>
      </c>
      <c r="G21" s="4" t="str">
        <f>'[3]参会 会议主承办 酒店会议主承办'!$S$23</f>
        <v/>
      </c>
      <c r="H21" s="4" t="str">
        <f>'[3]参会 会议主承办 酒店会议主承办'!$S$32</f>
        <v/>
      </c>
      <c r="I21" s="4" t="str">
        <f>'[3]参会 会议主承办 酒店会议主承办'!$S$37</f>
        <v/>
      </c>
      <c r="J21" s="4" t="str">
        <f>'[3]参会 会议主承办 酒店会议主承办'!$S$33</f>
        <v/>
      </c>
    </row>
    <row r="22" spans="3:10" ht="20.25" customHeight="1">
      <c r="C22" s="18"/>
      <c r="D22" s="3" t="s">
        <v>29</v>
      </c>
      <c r="E22" s="4" t="str">
        <f>'[3]参会 会议主承办 酒店会议主承办'!$X$4</f>
        <v/>
      </c>
      <c r="F22" s="4" t="str">
        <f>'[3]参会 会议主承办 酒店会议主承办'!$X$6</f>
        <v/>
      </c>
      <c r="G22" s="4" t="str">
        <f>'[3]参会 会议主承办 酒店会议主承办'!$X$12</f>
        <v/>
      </c>
      <c r="H22" s="4" t="str">
        <f>'[3]参会 会议主承办 酒店会议主承办'!$X$21</f>
        <v/>
      </c>
      <c r="I22" s="4" t="str">
        <f>'[3]参会 会议主承办 酒店会议主承办'!$X$26</f>
        <v/>
      </c>
      <c r="J22" s="4" t="str">
        <f>'[3]参会 会议主承办 酒店会议主承办'!$X$22</f>
        <v/>
      </c>
    </row>
    <row r="23" spans="3:10" ht="20.25" customHeight="1">
      <c r="C23" s="19"/>
      <c r="D23" s="8" t="s">
        <v>30</v>
      </c>
      <c r="E23" s="9" t="str">
        <f>[4]酒店自助餐!$K$30</f>
        <v/>
      </c>
      <c r="F23" s="6"/>
      <c r="G23" s="9" t="str">
        <f>[4]酒店自助餐!$L$28</f>
        <v/>
      </c>
      <c r="H23" s="6"/>
      <c r="I23" s="9">
        <f>[4]酒店自助餐!$M$28</f>
        <v>0</v>
      </c>
      <c r="J23" s="9" t="str">
        <f>[4]酒店自助餐!$K$28</f>
        <v/>
      </c>
    </row>
    <row r="24" spans="3:10" ht="20.25" customHeight="1">
      <c r="C24" s="13" t="s">
        <v>2</v>
      </c>
      <c r="D24" s="13"/>
      <c r="E24" s="10" t="str">
        <f>IFERROR(ROUND(AVERAGE(E5:E23),2),"")</f>
        <v/>
      </c>
      <c r="F24" s="10" t="str">
        <f t="shared" ref="F24:I24" si="0">IFERROR(ROUND(AVERAGE(F5:F22),2),"")</f>
        <v/>
      </c>
      <c r="G24" s="10" t="str">
        <f t="shared" si="0"/>
        <v/>
      </c>
      <c r="H24" s="10" t="str">
        <f t="shared" si="0"/>
        <v/>
      </c>
      <c r="I24" s="10" t="str">
        <f t="shared" si="0"/>
        <v/>
      </c>
      <c r="J24" s="10" t="str">
        <f>IFERROR(ROUND(AVERAGE(J5:J22,J20:J20),2),"")</f>
        <v/>
      </c>
    </row>
    <row r="25" spans="3:10" ht="36" customHeight="1">
      <c r="C25" s="14" t="s">
        <v>31</v>
      </c>
      <c r="D25" s="15"/>
      <c r="E25" s="15"/>
      <c r="F25" s="15"/>
      <c r="G25" s="15"/>
      <c r="H25" s="15"/>
      <c r="I25" s="15"/>
      <c r="J25" s="15"/>
    </row>
    <row r="33" spans="3:11">
      <c r="C33" s="1"/>
    </row>
    <row r="34" spans="3:11">
      <c r="C34" s="1"/>
    </row>
    <row r="35" spans="3:11">
      <c r="C35" s="1"/>
    </row>
    <row r="36" spans="3:11">
      <c r="C36" s="1"/>
    </row>
    <row r="37" spans="3:11">
      <c r="C37" s="1"/>
    </row>
    <row r="38" spans="3:11">
      <c r="C38" s="1"/>
    </row>
    <row r="39" spans="3:11">
      <c r="C39" s="1"/>
    </row>
    <row r="40" spans="3:11">
      <c r="C40" s="1"/>
    </row>
    <row r="41" spans="3:11">
      <c r="C41" s="1"/>
    </row>
    <row r="42" spans="3:11">
      <c r="C42" s="1"/>
    </row>
    <row r="43" spans="3:11">
      <c r="C43" s="1"/>
    </row>
    <row r="44" spans="3:11">
      <c r="C44" s="1"/>
    </row>
    <row r="45" spans="3:11">
      <c r="C45" s="1"/>
    </row>
    <row r="48" spans="3:11">
      <c r="K48" s="1"/>
    </row>
    <row r="49" spans="11:11">
      <c r="K49" s="1"/>
    </row>
    <row r="50" spans="11:11">
      <c r="K50" s="1"/>
    </row>
    <row r="51" spans="11:11">
      <c r="K51" s="1"/>
    </row>
  </sheetData>
  <mergeCells count="8">
    <mergeCell ref="C3:J3"/>
    <mergeCell ref="C4:D4"/>
    <mergeCell ref="C24:D24"/>
    <mergeCell ref="C25:J25"/>
    <mergeCell ref="C5:C10"/>
    <mergeCell ref="C11:C15"/>
    <mergeCell ref="C16:C17"/>
    <mergeCell ref="C19:C23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满意度</vt:lpstr>
      <vt:lpstr>重要性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Microsoft Office User</cp:lastModifiedBy>
  <dcterms:created xsi:type="dcterms:W3CDTF">2023-05-17T11:15:00Z</dcterms:created>
  <dcterms:modified xsi:type="dcterms:W3CDTF">2026-03-04T05:54:45Z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B6D89348B88048C5A85AABB995ADF94A_13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