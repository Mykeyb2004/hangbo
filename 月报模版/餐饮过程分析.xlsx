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qijin/PycharmProjects/hangbo/月报模版V1.0（数据+雷达图）/"/>
    </mc:Choice>
  </mc:AlternateContent>
  <xr:revisionPtr revIDLastSave="0" documentId="13_ncr:1_{73F9951E-A63C-BF4B-A204-14EAD3BAC357}" xr6:coauthVersionLast="47" xr6:coauthVersionMax="47" xr10:uidLastSave="{00000000-0000-0000-0000-000000000000}"/>
  <bookViews>
    <workbookView xWindow="-26700" yWindow="1600" windowWidth="25080" windowHeight="20160" activeTab="5" xr2:uid="{00000000-000D-0000-FFFF-FFFF00000000}"/>
  </bookViews>
  <sheets>
    <sheet name="问卷数据" sheetId="1" r:id="rId1"/>
    <sheet name="特色美食廊" sheetId="2" r:id="rId2"/>
    <sheet name="商务简餐" sheetId="3" r:id="rId3"/>
    <sheet name="旅游团餐" sheetId="9" r:id="rId4"/>
    <sheet name="宴会" sheetId="4" r:id="rId5"/>
    <sheet name="婚宴" sheetId="5" r:id="rId6"/>
    <sheet name="自助餐" sheetId="6" r:id="rId7"/>
    <sheet name="酒店宴会" sheetId="7" r:id="rId8"/>
    <sheet name="酒店自助餐" sheetId="8" r:id="rId9"/>
  </sheets>
  <definedNames>
    <definedName name="_xlnm._FilterDatabase" localSheetId="0" hidden="1">问卷数据!$A$1:$BZ$12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C13" i="5"/>
  <c r="C12" i="5"/>
  <c r="C11" i="5"/>
  <c r="C10" i="5"/>
  <c r="C22" i="8"/>
  <c r="C23" i="8"/>
  <c r="B22" i="8"/>
  <c r="B23" i="8"/>
  <c r="B19" i="6"/>
  <c r="C19" i="6"/>
  <c r="C18" i="6"/>
  <c r="B18" i="6"/>
  <c r="C4" i="9"/>
  <c r="C4" i="3"/>
  <c r="C19" i="9"/>
  <c r="B19" i="9"/>
  <c r="C18" i="9"/>
  <c r="B18" i="9"/>
  <c r="C17" i="9"/>
  <c r="B17" i="9"/>
  <c r="C16" i="9"/>
  <c r="B16" i="9"/>
  <c r="C14" i="9"/>
  <c r="B14" i="9"/>
  <c r="C13" i="9"/>
  <c r="B13" i="9"/>
  <c r="C12" i="9"/>
  <c r="B12" i="9"/>
  <c r="C10" i="9"/>
  <c r="B10" i="9"/>
  <c r="C9" i="9"/>
  <c r="B9" i="9"/>
  <c r="C8" i="9"/>
  <c r="B8" i="9"/>
  <c r="C7" i="9"/>
  <c r="B7" i="9"/>
  <c r="C6" i="9"/>
  <c r="B6" i="9"/>
  <c r="C5" i="9"/>
  <c r="B5" i="9"/>
  <c r="B4" i="9"/>
  <c r="C24" i="8"/>
  <c r="B24" i="8"/>
  <c r="C21" i="8"/>
  <c r="B21" i="8"/>
  <c r="C19" i="8"/>
  <c r="B19" i="8"/>
  <c r="C18" i="8"/>
  <c r="B18" i="8"/>
  <c r="C17" i="8"/>
  <c r="B17" i="8"/>
  <c r="B16" i="8" s="1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22" i="7"/>
  <c r="B22" i="7"/>
  <c r="C21" i="7"/>
  <c r="B21" i="7"/>
  <c r="C20" i="7"/>
  <c r="B20" i="7"/>
  <c r="C19" i="7"/>
  <c r="B19" i="7"/>
  <c r="C17" i="7"/>
  <c r="B17" i="7"/>
  <c r="C16" i="7"/>
  <c r="B16" i="7"/>
  <c r="C15" i="7"/>
  <c r="B15" i="7"/>
  <c r="C14" i="7"/>
  <c r="B14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20" i="6"/>
  <c r="B20" i="6"/>
  <c r="C17" i="6"/>
  <c r="B17" i="6"/>
  <c r="C15" i="6"/>
  <c r="B15" i="6"/>
  <c r="C14" i="6"/>
  <c r="B14" i="6"/>
  <c r="C13" i="6"/>
  <c r="C12" i="6" s="1"/>
  <c r="B13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24" i="5"/>
  <c r="B24" i="5"/>
  <c r="C23" i="5"/>
  <c r="B23" i="5"/>
  <c r="C22" i="5"/>
  <c r="B22" i="5"/>
  <c r="C21" i="5"/>
  <c r="B21" i="5"/>
  <c r="C19" i="5"/>
  <c r="B19" i="5"/>
  <c r="C18" i="5"/>
  <c r="B18" i="5"/>
  <c r="C17" i="5"/>
  <c r="B17" i="5"/>
  <c r="C16" i="5"/>
  <c r="B16" i="5"/>
  <c r="B14" i="5"/>
  <c r="B13" i="5"/>
  <c r="B12" i="5"/>
  <c r="B11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22" i="4"/>
  <c r="B22" i="4"/>
  <c r="C21" i="4"/>
  <c r="B21" i="4"/>
  <c r="C20" i="4"/>
  <c r="B20" i="4"/>
  <c r="C19" i="4"/>
  <c r="B19" i="4"/>
  <c r="C17" i="4"/>
  <c r="B17" i="4"/>
  <c r="C16" i="4"/>
  <c r="B16" i="4"/>
  <c r="C15" i="4"/>
  <c r="B15" i="4"/>
  <c r="C14" i="4"/>
  <c r="B14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19" i="3"/>
  <c r="B19" i="3"/>
  <c r="C18" i="3"/>
  <c r="B18" i="3"/>
  <c r="C17" i="3"/>
  <c r="B17" i="3"/>
  <c r="C16" i="3"/>
  <c r="B16" i="3"/>
  <c r="C14" i="3"/>
  <c r="B14" i="3"/>
  <c r="C13" i="3"/>
  <c r="B13" i="3"/>
  <c r="C12" i="3"/>
  <c r="B12" i="3"/>
  <c r="C10" i="3"/>
  <c r="B10" i="3"/>
  <c r="C9" i="3"/>
  <c r="B9" i="3"/>
  <c r="C8" i="3"/>
  <c r="B8" i="3"/>
  <c r="C7" i="3"/>
  <c r="B7" i="3"/>
  <c r="C6" i="3"/>
  <c r="B6" i="3"/>
  <c r="C5" i="3"/>
  <c r="B5" i="3"/>
  <c r="B4" i="3"/>
  <c r="C19" i="2"/>
  <c r="B19" i="2"/>
  <c r="C18" i="2"/>
  <c r="B18" i="2"/>
  <c r="C17" i="2"/>
  <c r="B17" i="2"/>
  <c r="C16" i="2"/>
  <c r="B16" i="2"/>
  <c r="C14" i="2"/>
  <c r="B14" i="2"/>
  <c r="C13" i="2"/>
  <c r="B13" i="2"/>
  <c r="B11" i="2" s="1"/>
  <c r="C12" i="2"/>
  <c r="B12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B20" i="5" l="1"/>
  <c r="B3" i="5"/>
  <c r="C3" i="5"/>
  <c r="B15" i="5"/>
  <c r="C15" i="5"/>
  <c r="C20" i="5"/>
  <c r="B1" i="5"/>
  <c r="C13" i="4"/>
  <c r="C3" i="4"/>
  <c r="B18" i="4"/>
  <c r="B13" i="4"/>
  <c r="B3" i="4"/>
  <c r="C18" i="4"/>
  <c r="B11" i="9"/>
  <c r="C11" i="9"/>
  <c r="C3" i="9"/>
  <c r="B3" i="9"/>
  <c r="B1" i="9" s="1"/>
  <c r="C15" i="9"/>
  <c r="B15" i="9"/>
  <c r="B1" i="4"/>
  <c r="C1" i="4"/>
  <c r="B15" i="3"/>
  <c r="B3" i="3"/>
  <c r="B1" i="3" s="1"/>
  <c r="C11" i="3"/>
  <c r="C15" i="3"/>
  <c r="B11" i="3"/>
  <c r="C3" i="3"/>
  <c r="C1" i="3" s="1"/>
  <c r="B15" i="2"/>
  <c r="B3" i="2"/>
  <c r="B1" i="2" s="1"/>
  <c r="C11" i="2"/>
  <c r="C15" i="2"/>
  <c r="C3" i="2"/>
  <c r="C1" i="2"/>
  <c r="B12" i="6"/>
  <c r="B3" i="6"/>
  <c r="C3" i="6"/>
  <c r="B16" i="6"/>
  <c r="C16" i="6"/>
  <c r="C18" i="7"/>
  <c r="C3" i="7"/>
  <c r="B18" i="7"/>
  <c r="B3" i="7"/>
  <c r="B13" i="7"/>
  <c r="C13" i="7"/>
  <c r="C1" i="7"/>
  <c r="B7" i="8"/>
  <c r="C16" i="8"/>
  <c r="B20" i="8"/>
  <c r="C20" i="8"/>
  <c r="C5" i="8" s="1"/>
  <c r="C7" i="8"/>
  <c r="C1" i="5" l="1"/>
  <c r="C1" i="9"/>
  <c r="C1" i="6"/>
  <c r="B1" i="6"/>
  <c r="B1" i="7"/>
  <c r="B5" i="8"/>
</calcChain>
</file>

<file path=xl/sharedStrings.xml><?xml version="1.0" encoding="utf-8"?>
<sst xmlns="http://schemas.openxmlformats.org/spreadsheetml/2006/main" count="258" uniqueCount="118">
  <si>
    <t>提交序号</t>
  </si>
  <si>
    <t>状态</t>
  </si>
  <si>
    <t>Q1-调研类别</t>
  </si>
  <si>
    <t>Q2-您使用了那种餐饮类型</t>
  </si>
  <si>
    <t>Q3-您的性别</t>
  </si>
  <si>
    <t>Q4-您的年龄</t>
  </si>
  <si>
    <t>Q6-请问您对杭州国际博览中心交通情况进行评价？请用1-10分打分-外部交通，容易达到(满意度)</t>
  </si>
  <si>
    <t>Q6-请问您对杭州国际博览中心交通情况进行评价？请用1-10分打分-外部交通，容易达到(重要性)</t>
  </si>
  <si>
    <t>Q6-请问您对杭州国际博览中心交通情况进行评价？请用1-10分打分-内部交通，停车方便(满意度)</t>
  </si>
  <si>
    <t>Q6-请问您对杭州国际博览中心交通情况进行评价？请用1-10分打分-内部交通，停车方便(重要性)</t>
  </si>
  <si>
    <t>Q7-请问您对杭州国际博览中心标识标牌清晰评价？请用1-10分打分。-标识标牌清晰(满意度)</t>
  </si>
  <si>
    <t>Q7-请问您对杭州国际博览中心标识标牌清晰评价？请用1-10分打分。-标识标牌清晰(重要性)</t>
  </si>
  <si>
    <t>Q8-请问您对杭州国际博览中心就餐区域温度评价？请用1-10分打分。-就餐区域温度(满意度)</t>
  </si>
  <si>
    <t>Q8-请问您对杭州国际博览中心就餐区域温度评价？请用1-10分打分。-就餐区域温度(重要性)</t>
  </si>
  <si>
    <t>Q9-请问您对杭州国际博览中心就餐区域卫生评价？请用1-10分打分。-就餐区域卫生(满意度)</t>
  </si>
  <si>
    <t>Q9-请问您对杭州国际博览中心就餐区域卫生评价？请用1-10分打分。-就餐区域卫生(重要性)</t>
  </si>
  <si>
    <t>Q10-请问您对杭州国际博览中心宴会视听设备评价？请用1-10分打分。（宴会，婚宴）-宴会视听设备(满意度)</t>
  </si>
  <si>
    <t>Q10-请问您对杭州国际博览中心宴会视听设备评价？请用1-10分打分。（宴会，婚宴）-宴会视听设备(重要性)</t>
  </si>
  <si>
    <t>Q11-请问您对杭州国际博览中心接待指引评价？请用1-10分打分。（宴会，婚宴，自助餐）-接待指引(满意度)</t>
  </si>
  <si>
    <t>Q11-请问您对杭州国际博览中心接待指引评价？请用1-10分打分。（宴会，婚宴，自助餐）-接待指引(重要性)</t>
  </si>
  <si>
    <t>Q12-请问您对杭州国际博览中心菜品特色评价？请用1-10分打分。（商，特，宴会，婚宴）-菜品特色(满意度)</t>
  </si>
  <si>
    <t>Q12-请问您对杭州国际博览中心菜品特色评价？请用1-10分打分。（商，特，宴会，婚宴）-菜品特色(重要性)</t>
  </si>
  <si>
    <t>Q13-请问您对杭州国际博览中心婚宴茶歇服务与品质评价？请用1-10分打分。（婚宴，）-婚宴茶歇服务与品质(满意度)</t>
  </si>
  <si>
    <t>Q13-请问您对杭州国际博览中心婚宴茶歇服务与品质评价？请用1-10分打分。（婚宴，）-婚宴茶歇服务与品质(重要性)</t>
  </si>
  <si>
    <t>Q14-请问您对杭州国际博览中心菜肴品质评价？请用1-10分打分。（特）-菜肴品质(满意度)</t>
  </si>
  <si>
    <t>Q14-请问您对杭州国际博览中心菜肴品质评价？请用1-10分打分。（特）-菜肴品质(重要性)</t>
  </si>
  <si>
    <t>Q15-请问您对杭州国际博览中心菜品口味品相评价？请用1-10分打分。（特，婚，宴会，自助）-菜品口味口相(满意度)</t>
  </si>
  <si>
    <t>Q15-请问您对杭州国际博览中心菜品口味品相评价？请用1-10分打分。（特，婚，宴会，自助）-菜品口味口相(重要性)</t>
  </si>
  <si>
    <t>Q16-请问您对杭州国际博览中心上菜/供应速度评价？请用1-10分打分。（商，自助，宴会，婚宴）-上菜/供应速度(满意度)</t>
  </si>
  <si>
    <t>Q16-请问您对杭州国际博览中心上菜/供应速度评价？请用1-10分打分。（商，自助，宴会，婚宴）-上菜/供应速度(重要性)</t>
  </si>
  <si>
    <t>Q17-请问您对杭州国际博览中心菜品卫生评价？请用1-10分打分。（商）-菜品卫生(满意度)</t>
  </si>
  <si>
    <t>Q17-请问您对杭州国际博览中心菜品卫生评价？请用1-10分打分。（商）-菜品卫生(重要性)</t>
  </si>
  <si>
    <t>Q18-请问您对杭州国际博览中心菜肴品种评价？请用1-10分打分。（自助，宴会）-菜肴品种(满意度)</t>
  </si>
  <si>
    <t>Q18-请问您对杭州国际博览中心菜肴品种评价？请用1-10分打分。（自助，宴会）-菜肴品种(重要性)</t>
  </si>
  <si>
    <t>Q19-请问您对杭州国际博览中心菜肴份量评价？请用1-10分打分。（特，商）-菜肴份量(满意度)</t>
  </si>
  <si>
    <t>Q19-请问您对杭州国际博览中心菜肴份量评价？请用1-10分打分。（特，商）-菜肴份量(重要性)</t>
  </si>
  <si>
    <t>Q20-请问您对杭州国际博览中心菜品温度评价？请用1-10分打分。（商，宴会，婚宴）-菜品温度(满意度)</t>
  </si>
  <si>
    <t>Q20-请问您对杭州国际博览中心菜品温度评价？请用1-10分打分。（商，宴会，婚宴）-菜品温度(重要性)</t>
  </si>
  <si>
    <t>Q21-请问您对本次就餐工作人员服务品质评价？请用1-10分打分。（特，商，宴会，自助）-工作人员服务品质(满意度)</t>
  </si>
  <si>
    <t>Q21-请问您对本次就餐工作人员服务品质评价？请用1-10分打分。（特，商，宴会，自助）-工作人员服务品质(重要性)</t>
  </si>
  <si>
    <t>Q22-请问您对本次就餐工作人员服务态度评价？请用1-10分打分。（婚宴）-工作人员服务态度(满意度)</t>
  </si>
  <si>
    <t>Q22-请问您对本次就餐工作人员服务态度评价？请用1-10分打分。（婚宴）-工作人员服务态度(重要性)</t>
  </si>
  <si>
    <t>Q23-请问您对本次就餐工作人员仪容仪表评价？请用1-10分打分。（婚宴）-工作人员仪容仪表(满意度)</t>
  </si>
  <si>
    <t>Q23-请问您对本次就餐工作人员仪容仪表评价？请用1-10分打分。（婚宴）-工作人员仪容仪表(重要性)</t>
  </si>
  <si>
    <t>Q24-请问您对本次就餐工作人员业务技能评价？请用1-10分打分。（婚宴）-工作人员业务技能(满意度)</t>
  </si>
  <si>
    <t>Q24-请问您对本次就餐工作人员业务技能评价？请用1-10分打分。（婚宴）-工作人员业务技能(重要性)</t>
  </si>
  <si>
    <t>Q25-您知道杭州国际博览中心杭州国博APP吗？</t>
  </si>
  <si>
    <t>Q26-请问您对杭州国际博览中心杭州国博APP评价评价？请用1-10分打分。-杭州国博APP(满意度)</t>
  </si>
  <si>
    <t>Q26-请问您对杭州国际博览中心杭州国博APP评价评价？请用1-10分打分。-杭州国博APP(重要性)</t>
  </si>
  <si>
    <t>Q27-您是否知道杭州国际博览中心室内导航系统？</t>
  </si>
  <si>
    <t>Q28-请问您对杭州国际博览中心室内导航系统评价如何？-室内导航系统(满意度)</t>
  </si>
  <si>
    <t>Q28-请问您对杭州国际博览中心室内导航系统评价如何？-室内导航系统(重要性)</t>
  </si>
  <si>
    <t>Q29-您知道杭州国际博览中心寻车系统评价？请用1-10分打分。</t>
  </si>
  <si>
    <t>Q30-请问您对杭州国际博览中心寻车系统评价评价？请用1-10分打分。-寻车系统(满意度)</t>
  </si>
  <si>
    <t>Q30-请问您对杭州国际博览中心寻车系统评价评价？请用1-10分打分。-寻车系统(重要性)</t>
  </si>
  <si>
    <t>Q31-您知道杭州国际博览中心云上看馆吗？</t>
  </si>
  <si>
    <t>Q32-请问您对杭州国际博览中心云上看馆评价？请用1-10分打分。-云上看馆(满意度)</t>
  </si>
  <si>
    <t>Q32-请问您对杭州国际博览中心云上看馆评价？请用1-10分打分。-云上看馆(重要性)</t>
  </si>
  <si>
    <t>Q33-请问您对餐厅的价格与品质程度如何？【单选】 请用1-10分打分。—满意度</t>
  </si>
  <si>
    <t>Q34-
请问您对餐厅的总体满意程度如何？【单选】 请用1-10分打分。
—满意度</t>
  </si>
  <si>
    <t>Q35-本次就餐服务是否有达到您的预期？—满意度</t>
  </si>
  <si>
    <t xml:space="preserve">Q36-
您是否会向其他人推荐该餐厅？【单选】
</t>
  </si>
  <si>
    <t xml:space="preserve">Q37-
请问您对餐厅的评价或建议？【开放题】
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</si>
  <si>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</si>
  <si>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</si>
  <si>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</si>
  <si>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</si>
  <si>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</si>
  <si>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</si>
  <si>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</si>
  <si>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</si>
  <si>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</si>
  <si>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</si>
  <si>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</si>
  <si>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</si>
  <si>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</si>
  <si>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</si>
  <si>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特色美食廊</t>
  </si>
  <si>
    <t>指标</t>
  </si>
  <si>
    <t>满意度</t>
  </si>
  <si>
    <t>重要性</t>
  </si>
  <si>
    <t>餐饮服务</t>
  </si>
  <si>
    <t>菜肴品质</t>
  </si>
  <si>
    <t>菜品口味口相</t>
  </si>
  <si>
    <t>菜品地方特色</t>
  </si>
  <si>
    <t>菜肴份量</t>
  </si>
  <si>
    <t>工作人员服务品质</t>
  </si>
  <si>
    <t>就餐区域温度</t>
  </si>
  <si>
    <t>就餐区域卫生</t>
  </si>
  <si>
    <t>硬件设施</t>
  </si>
  <si>
    <t>园区停车方便</t>
  </si>
  <si>
    <t>交通便利，容易到达</t>
  </si>
  <si>
    <t>标识标牌清晰</t>
  </si>
  <si>
    <t>智慧场馆</t>
  </si>
  <si>
    <t>杭州国博APP</t>
  </si>
  <si>
    <t>寻车系统</t>
  </si>
  <si>
    <t>室内导航系统</t>
  </si>
  <si>
    <t>云上看馆</t>
  </si>
  <si>
    <t>商务简餐</t>
  </si>
  <si>
    <t>旅游团餐</t>
  </si>
  <si>
    <t>菜品温度</t>
  </si>
  <si>
    <t>菜品分量</t>
  </si>
  <si>
    <t>供应速度</t>
  </si>
  <si>
    <t>菜品卫生</t>
  </si>
  <si>
    <t>宴会</t>
  </si>
  <si>
    <t>菜肴品种</t>
  </si>
  <si>
    <t>菜品供应速度</t>
  </si>
  <si>
    <t>菜品口味品相</t>
  </si>
  <si>
    <t>接待指引</t>
  </si>
  <si>
    <t>宴会视听设备</t>
  </si>
  <si>
    <t>婚宴</t>
  </si>
  <si>
    <t>工作人员仪容仪表</t>
  </si>
  <si>
    <t>工作人员服务态度</t>
  </si>
  <si>
    <t>工作人员业务技能</t>
  </si>
  <si>
    <t>婚宴茶歇</t>
  </si>
  <si>
    <t>自助餐</t>
  </si>
  <si>
    <t>酒店宴会</t>
  </si>
  <si>
    <t>酒店自助餐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</si>
</sst>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0D0D0D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Y1"/>
  <sheetViews>
    <sheetView topLeftCell="AJ1" zoomScale="119" zoomScaleNormal="90" workbookViewId="0">
      <selection activeCell="AR1" sqref="AR1"/>
    </sheetView>
  </sheetViews>
  <sheetFormatPr baseColWidth="10" defaultColWidth="9" defaultRowHeight="14"/>
  <cols>
    <col min="1" max="1" width="8" customWidth="1"/>
    <col min="2" max="77" width="8" style="1" customWidth="1"/>
    <col min="78" max="16384" width="9" style="1"/>
  </cols>
  <sheetData>
    <row r="1" spans="1:77">
      <c r="A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</sheetData>
  <autoFilter ref="A1:BZ12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19"/>
  <sheetViews>
    <sheetView zoomScale="82" zoomScaleNormal="82" workbookViewId="0">
      <selection activeCell="C4" sqref="C4"/>
    </sheetView>
  </sheetViews>
  <sheetFormatPr baseColWidth="10" defaultColWidth="8.83203125" defaultRowHeight="14"/>
  <cols>
    <col min="1" max="1" width="19.1640625" style="1" customWidth="1"/>
    <col min="2" max="2" width="9.6640625" style="1"/>
    <col min="3" max="3" width="9.6640625"/>
    <col min="7" max="7" width="17.6640625" style="1" customWidth="1"/>
    <col min="8" max="11" width="8.83203125" style="1"/>
    <col min="12" max="12" width="17.83203125" style="1" customWidth="1"/>
    <col min="13" max="30" width="8.83203125" style="1"/>
    <col min="31" max="31" width="17.83203125" style="1" customWidth="1"/>
    <col min="32" max="34" width="8.83203125" style="1"/>
  </cols>
  <sheetData>
    <row r="1" spans="1:32">
      <c r="A1" s="2" t="s">
        <v>77</v>
      </c>
      <c r="B1" s="2" t="str">
        <f>IFERROR(ROUND(AVERAGE(B3,B11,B15),2),"")</f>
        <v/>
      </c>
      <c r="C1" s="2" t="str">
        <f>IFERROR(ROUND(AVERAGE(C3,C11,C15),2),"")</f>
        <v/>
      </c>
      <c r="G1"/>
      <c r="H1"/>
      <c r="I1"/>
      <c r="L1"/>
      <c r="M1"/>
      <c r="N1"/>
      <c r="Q1"/>
      <c r="R1"/>
      <c r="S1"/>
      <c r="U1"/>
      <c r="V1"/>
      <c r="W1"/>
      <c r="Z1"/>
      <c r="AA1"/>
      <c r="AB1"/>
      <c r="AE1"/>
      <c r="AF1"/>
    </row>
    <row r="2" spans="1:32">
      <c r="A2" s="1" t="s">
        <v>78</v>
      </c>
      <c r="B2" s="1" t="s">
        <v>79</v>
      </c>
      <c r="C2" t="s">
        <v>80</v>
      </c>
      <c r="G2"/>
      <c r="H2"/>
      <c r="I2"/>
      <c r="L2"/>
      <c r="M2"/>
      <c r="N2"/>
      <c r="Q2"/>
      <c r="R2"/>
      <c r="S2"/>
      <c r="U2"/>
      <c r="V2"/>
      <c r="W2"/>
      <c r="Z2"/>
      <c r="AA2"/>
      <c r="AB2"/>
      <c r="AE2"/>
      <c r="AF2"/>
    </row>
    <row r="3" spans="1:32">
      <c r="A3" s="3" t="s">
        <v>81</v>
      </c>
      <c r="B3" s="3" t="str">
        <f>IFERROR(ROUND(AVERAGE(B4:B10),2),"")</f>
        <v/>
      </c>
      <c r="C3" s="3" t="str">
        <f>IFERROR(ROUND(AVERAGE(C4:C10),2),"")</f>
        <v/>
      </c>
      <c r="G3"/>
      <c r="H3"/>
      <c r="I3"/>
      <c r="L3"/>
      <c r="M3"/>
      <c r="N3"/>
      <c r="Q3"/>
      <c r="R3"/>
      <c r="S3"/>
      <c r="U3"/>
      <c r="V3"/>
      <c r="W3"/>
      <c r="Z3"/>
      <c r="AA3"/>
      <c r="AB3"/>
      <c r="AE3"/>
      <c r="AF3"/>
    </row>
    <row r="4" spans="1:32">
      <c r="A4" s="1" t="s">
        <v>82</v>
      </c>
      <c r="B4" s="1" t="str">
        <f>IFERROR(ROUND(AVERAGEIFS(问卷数据!Y:Y,问卷数据!$D:$D,$A$1,问卷数据!Y:Y,"&gt;0",问卷数据!Y:Y,"&lt;11"),2),"")</f>
        <v/>
      </c>
      <c r="C4" s="1" t="str">
        <f>IFERROR(ROUND(AVERAGEIFS(问卷数据!Z:Z,问卷数据!$D:$D,$A$1,问卷数据!Z:Z,"&gt;0",问卷数据!Z:Z,"&lt;11"),2),"")</f>
        <v/>
      </c>
      <c r="G4"/>
      <c r="H4"/>
      <c r="I4"/>
      <c r="L4"/>
      <c r="M4"/>
      <c r="N4"/>
      <c r="Q4"/>
      <c r="R4"/>
      <c r="S4"/>
      <c r="U4"/>
      <c r="V4"/>
      <c r="W4"/>
      <c r="Z4"/>
      <c r="AA4"/>
      <c r="AB4"/>
      <c r="AE4"/>
      <c r="AF4"/>
    </row>
    <row r="5" spans="1:32">
      <c r="A5" s="1" t="s">
        <v>83</v>
      </c>
      <c r="B5" s="1" t="str">
        <f>IFERROR(ROUND(AVERAGEIFS(问卷数据!AA:AA,问卷数据!$D:$D,$A$1,问卷数据!AA:AA,"&gt;0",问卷数据!AA:AA,"&lt;11"),2),"")</f>
        <v/>
      </c>
      <c r="C5" s="1" t="str">
        <f>IFERROR(ROUND(AVERAGEIFS(问卷数据!AB:AB,问卷数据!$D:$D,$A$1,问卷数据!AB:AB,"&gt;0",问卷数据!AB:AB,"&lt;11"),2),"")</f>
        <v/>
      </c>
      <c r="G5"/>
      <c r="H5"/>
      <c r="I5"/>
      <c r="L5"/>
      <c r="M5"/>
      <c r="N5"/>
      <c r="Q5"/>
      <c r="R5"/>
      <c r="S5"/>
      <c r="U5"/>
      <c r="V5"/>
      <c r="W5"/>
      <c r="Z5"/>
      <c r="AA5"/>
      <c r="AB5"/>
      <c r="AE5"/>
      <c r="AF5"/>
    </row>
    <row r="6" spans="1:32">
      <c r="A6" s="1" t="s">
        <v>84</v>
      </c>
      <c r="B6" s="1" t="str">
        <f>IFERROR(ROUND(AVERAGEIFS(问卷数据!U:U,问卷数据!$D:$D,$A$1,问卷数据!U:U,"&gt;0",问卷数据!U:U,"&lt;11"),2),"")</f>
        <v/>
      </c>
      <c r="C6" s="1" t="str">
        <f>IFERROR(ROUND(AVERAGEIFS(问卷数据!V:V,问卷数据!$D:$D,$A$1,问卷数据!V:V,"&gt;0",问卷数据!V:V,"&lt;11"),2),"")</f>
        <v/>
      </c>
      <c r="G6"/>
      <c r="H6"/>
      <c r="I6"/>
      <c r="L6"/>
      <c r="M6"/>
      <c r="N6"/>
      <c r="Q6"/>
      <c r="R6"/>
      <c r="S6"/>
      <c r="U6"/>
      <c r="V6"/>
      <c r="W6"/>
      <c r="Z6"/>
      <c r="AA6"/>
      <c r="AB6"/>
      <c r="AE6"/>
      <c r="AF6"/>
    </row>
    <row r="7" spans="1:32">
      <c r="A7" s="1" t="s">
        <v>85</v>
      </c>
      <c r="B7" s="1" t="str">
        <f>IFERROR(ROUND(AVERAGEIFS(问卷数据!AI:AI,问卷数据!$D:$D,$A$1,问卷数据!AI:AI,"&gt;0",问卷数据!AI:AI,"&lt;11"),2),"")</f>
        <v/>
      </c>
      <c r="C7" s="1" t="str">
        <f>IFERROR(ROUND(AVERAGEIFS(问卷数据!AJ:AJ,问卷数据!$D:$D,$A$1,问卷数据!AJ:AJ,"&gt;0",问卷数据!AJ:AJ,"&lt;11"),2),"")</f>
        <v/>
      </c>
      <c r="G7"/>
      <c r="H7"/>
      <c r="I7"/>
      <c r="L7"/>
      <c r="M7"/>
      <c r="N7"/>
      <c r="Q7"/>
      <c r="R7"/>
      <c r="S7"/>
      <c r="U7"/>
      <c r="V7"/>
      <c r="W7"/>
      <c r="Z7"/>
      <c r="AA7"/>
      <c r="AB7"/>
      <c r="AE7"/>
      <c r="AF7"/>
    </row>
    <row r="8" spans="1:32">
      <c r="A8" s="1" t="s">
        <v>86</v>
      </c>
      <c r="B8" s="1" t="str">
        <f>IFERROR(ROUND(AVERAGEIFS(问卷数据!$AM:$AM,问卷数据!$D:$D,$A$1,问卷数据!$AM:$AM,"&gt;0",问卷数据!$AM:$AM,"&lt;11"),2),"")</f>
        <v/>
      </c>
      <c r="C8" s="1" t="str">
        <f>IFERROR(ROUND(AVERAGEIFS(问卷数据!$AN:$AN,问卷数据!$D:$D,$A$1,问卷数据!$AN:$AN,"&gt;0",问卷数据!$AN:$AN,"&lt;11"),2),"")</f>
        <v/>
      </c>
      <c r="G8"/>
      <c r="H8"/>
      <c r="I8"/>
      <c r="L8"/>
      <c r="M8"/>
      <c r="N8"/>
      <c r="Q8"/>
      <c r="R8"/>
      <c r="S8"/>
      <c r="U8"/>
      <c r="V8"/>
      <c r="W8"/>
      <c r="Z8"/>
      <c r="AA8"/>
      <c r="AB8"/>
      <c r="AE8"/>
      <c r="AF8"/>
    </row>
    <row r="9" spans="1:32">
      <c r="A9" s="1" t="s">
        <v>87</v>
      </c>
      <c r="B9" s="1" t="str">
        <f>IFERROR(ROUND(AVERAGEIFS(问卷数据!$M:$M,问卷数据!$D:$D,$A$1,问卷数据!$M:$M,"&gt;0",问卷数据!$M:$M,"&lt;11"),2),"")</f>
        <v/>
      </c>
      <c r="C9" s="1" t="str">
        <f>IFERROR(ROUND(AVERAGEIFS(问卷数据!$N:$N,问卷数据!$D:$D,$A$1,问卷数据!$N:$N,"&gt;0",问卷数据!$N:$N,"&lt;11"),2),"")</f>
        <v/>
      </c>
      <c r="G9"/>
      <c r="H9"/>
      <c r="I9"/>
      <c r="L9"/>
      <c r="M9"/>
      <c r="N9"/>
      <c r="Q9"/>
      <c r="R9"/>
      <c r="S9"/>
      <c r="U9"/>
      <c r="V9"/>
      <c r="W9"/>
      <c r="Z9"/>
      <c r="AA9"/>
      <c r="AB9"/>
      <c r="AE9"/>
      <c r="AF9"/>
    </row>
    <row r="10" spans="1:32">
      <c r="A10" s="1" t="s">
        <v>88</v>
      </c>
      <c r="B10" s="1" t="str">
        <f>IFERROR(ROUND(AVERAGEIFS(问卷数据!$O:$O,问卷数据!$D:$D,$A$1,问卷数据!$O:$O,"&gt;0",问卷数据!$O:$O,"&lt;11"),2),"")</f>
        <v/>
      </c>
      <c r="C10" s="1" t="str">
        <f>IFERROR(ROUND(AVERAGEIFS(问卷数据!$P:$P,问卷数据!$D:$D,$A$1,问卷数据!$P:$P,"&gt;0",问卷数据!$P:$P,"&lt;11"),2),"")</f>
        <v/>
      </c>
      <c r="G10"/>
      <c r="H10"/>
      <c r="I10"/>
      <c r="L10"/>
      <c r="M10"/>
      <c r="N10"/>
      <c r="Q10"/>
      <c r="R10"/>
      <c r="S10"/>
      <c r="U10"/>
      <c r="V10"/>
      <c r="W10"/>
      <c r="Z10"/>
      <c r="AA10"/>
      <c r="AB10"/>
      <c r="AE10"/>
      <c r="AF10"/>
    </row>
    <row r="11" spans="1:32">
      <c r="A11" s="3" t="s">
        <v>89</v>
      </c>
      <c r="B11" s="3" t="str">
        <f>IFERROR(ROUND(AVERAGE(B12:B14),2),"")</f>
        <v/>
      </c>
      <c r="C11" s="3" t="str">
        <f>IFERROR(ROUND(AVERAGE(C12:C14),2),"")</f>
        <v/>
      </c>
      <c r="G11"/>
      <c r="H11"/>
      <c r="I11"/>
      <c r="L11"/>
      <c r="M11"/>
      <c r="N11"/>
      <c r="Q11"/>
      <c r="R11"/>
      <c r="S11"/>
      <c r="U11"/>
      <c r="V11"/>
      <c r="W11"/>
      <c r="Z11"/>
      <c r="AA11"/>
      <c r="AB11"/>
      <c r="AE11"/>
      <c r="AF11"/>
    </row>
    <row r="12" spans="1:32">
      <c r="A12" s="1" t="s">
        <v>90</v>
      </c>
      <c r="B12" s="1" t="str">
        <f>IFERROR(ROUND(AVERAGEIFS(问卷数据!$I:$I,问卷数据!$D:$D,$A$1,问卷数据!$I:$I,"&gt;0",问卷数据!$I:$I,"&lt;11"),2),"")</f>
        <v/>
      </c>
      <c r="C12" s="1" t="str">
        <f>IFERROR(ROUND(AVERAGEIFS(问卷数据!$J:$J,问卷数据!$D:$D,$A$1,问卷数据!$J:$J,"&gt;0",问卷数据!$J:$J,"&lt;11"),2),"")</f>
        <v/>
      </c>
      <c r="G12"/>
      <c r="H12"/>
      <c r="I12"/>
      <c r="L12"/>
      <c r="M12"/>
      <c r="N12"/>
      <c r="Q12"/>
      <c r="R12"/>
      <c r="S12"/>
      <c r="U12"/>
      <c r="V12"/>
      <c r="W12"/>
      <c r="Z12"/>
      <c r="AA12"/>
      <c r="AB12"/>
      <c r="AE12"/>
      <c r="AF12"/>
    </row>
    <row r="13" spans="1:32">
      <c r="A13" s="1" t="s">
        <v>91</v>
      </c>
      <c r="B13" s="1" t="str">
        <f>IFERROR(ROUND(AVERAGEIFS(问卷数据!$G:$G,问卷数据!$D:$D,$A$1,问卷数据!$G:$G,"&gt;0",问卷数据!$G:$G,"&lt;11"),2),"")</f>
        <v/>
      </c>
      <c r="C13" s="1" t="str">
        <f>IFERROR(ROUND(AVERAGEIFS(问卷数据!$H:$H,问卷数据!$D:$D,$A$1,问卷数据!$H:$H,"&gt;0",问卷数据!$H:$H,"&lt;11"),2),"")</f>
        <v/>
      </c>
      <c r="G13"/>
      <c r="H13"/>
      <c r="I13"/>
      <c r="L13"/>
      <c r="M13"/>
      <c r="N13"/>
      <c r="Q13"/>
      <c r="R13"/>
      <c r="S13"/>
      <c r="U13"/>
      <c r="V13"/>
      <c r="W13"/>
      <c r="Z13"/>
      <c r="AA13"/>
      <c r="AB13"/>
      <c r="AE13"/>
      <c r="AF13"/>
    </row>
    <row r="14" spans="1:32">
      <c r="A14" s="1" t="s">
        <v>92</v>
      </c>
      <c r="B14" s="1" t="str">
        <f>IFERROR(ROUND(AVERAGEIFS(问卷数据!$K:$K,问卷数据!$D:$D,$A$1,问卷数据!$K:$K,"&gt;0",问卷数据!$K:$K,"&lt;11"),2),"")</f>
        <v/>
      </c>
      <c r="C14" s="1" t="str">
        <f>IFERROR(ROUND(AVERAGEIFS(问卷数据!$L:$L,问卷数据!$D:$D,$A$1,问卷数据!$L:$L,"&gt;0",问卷数据!$L:$L,"&lt;11"),2),"")</f>
        <v/>
      </c>
      <c r="G14"/>
      <c r="H14"/>
      <c r="I14"/>
      <c r="L14"/>
      <c r="M14"/>
      <c r="N14"/>
      <c r="Q14"/>
      <c r="R14"/>
      <c r="S14"/>
      <c r="U14"/>
      <c r="V14"/>
      <c r="W14"/>
      <c r="Z14"/>
      <c r="AA14"/>
      <c r="AB14"/>
      <c r="AE14"/>
      <c r="AF14"/>
    </row>
    <row r="15" spans="1:32">
      <c r="A15" s="3" t="s">
        <v>93</v>
      </c>
      <c r="B15" s="3" t="str">
        <f>IFERROR(ROUND(AVERAGE(B16:B19),2),"")</f>
        <v/>
      </c>
      <c r="C15" s="3" t="str">
        <f>IFERROR(ROUND(AVERAGE(C16:C19),2),"")</f>
        <v/>
      </c>
      <c r="G15"/>
      <c r="H15"/>
      <c r="I15"/>
      <c r="L15"/>
      <c r="M15"/>
      <c r="N15"/>
      <c r="Q15"/>
      <c r="R15"/>
      <c r="S15"/>
      <c r="U15"/>
      <c r="V15"/>
      <c r="W15"/>
      <c r="Z15"/>
      <c r="AA15"/>
      <c r="AB15"/>
      <c r="AE15"/>
      <c r="AF15"/>
    </row>
    <row r="16" spans="1:32">
      <c r="A16" s="1" t="s">
        <v>94</v>
      </c>
      <c r="B16" s="1" t="str">
        <f>IFERROR(ROUND(AVERAGEIFS(问卷数据!$AV:$AV,问卷数据!$D:$D,$A$1,问卷数据!$AV:$AV,"&gt;0",问卷数据!$AV:$AV,"&lt;11"),2),"")</f>
        <v/>
      </c>
      <c r="C16" s="1" t="str">
        <f>IFERROR(ROUND(AVERAGEIFS(问卷数据!$AW:$AW,问卷数据!$D:$D,$A$1,问卷数据!$AW:$AW,"&gt;0",问卷数据!$AW:$AW,"&lt;11"),2),"")</f>
        <v/>
      </c>
      <c r="G16"/>
      <c r="H16"/>
      <c r="I16"/>
      <c r="L16"/>
      <c r="M16"/>
      <c r="N16"/>
      <c r="Q16"/>
      <c r="R16"/>
      <c r="S16"/>
      <c r="U16"/>
      <c r="V16"/>
      <c r="W16"/>
      <c r="Z16"/>
      <c r="AA16"/>
      <c r="AB16"/>
      <c r="AE16"/>
      <c r="AF16"/>
    </row>
    <row r="17" spans="1:32">
      <c r="A17" s="1" t="s">
        <v>95</v>
      </c>
      <c r="B17" s="1" t="str">
        <f>IFERROR(ROUND(AVERAGEIFS(问卷数据!$BB:$BB,问卷数据!$D:$D,$A$1,问卷数据!$BB:$BB,"&gt;0",问卷数据!$BB:$BB,"&lt;11"),2),"")</f>
        <v/>
      </c>
      <c r="C17" s="1" t="str">
        <f>IFERROR(ROUND(AVERAGEIFS(问卷数据!$BC:$BC,问卷数据!$D:$D,$A$1,问卷数据!$BC:$BC,"&gt;0",问卷数据!$BC:$BC,"&lt;11"),2),"")</f>
        <v/>
      </c>
      <c r="G17"/>
      <c r="H17"/>
      <c r="I17"/>
      <c r="L17"/>
      <c r="M17"/>
      <c r="N17"/>
      <c r="Q17"/>
      <c r="R17"/>
      <c r="S17"/>
      <c r="U17"/>
      <c r="V17"/>
      <c r="W17"/>
      <c r="Z17"/>
      <c r="AA17"/>
      <c r="AB17"/>
      <c r="AE17"/>
      <c r="AF17"/>
    </row>
    <row r="18" spans="1:32">
      <c r="A18" s="1" t="s">
        <v>96</v>
      </c>
      <c r="B18" s="1" t="str">
        <f>IFERROR(ROUND(AVERAGEIFS(问卷数据!AY:AY,问卷数据!$D:$D,$A$1,问卷数据!AY:AY,"&gt;0",问卷数据!AY:AY,"&lt;11"),2),"")</f>
        <v/>
      </c>
      <c r="C18" s="1" t="str">
        <f>IFERROR(ROUND(AVERAGEIFS(问卷数据!$AZ:$AZ,问卷数据!$D:$D,$A$1,问卷数据!$AZ:$AZ,"&gt;0",问卷数据!$AZ:$AZ,"&lt;11"),2),"")</f>
        <v/>
      </c>
      <c r="G18"/>
      <c r="H18"/>
      <c r="I18"/>
      <c r="L18"/>
      <c r="M18"/>
      <c r="N18"/>
      <c r="Q18"/>
      <c r="R18"/>
      <c r="S18"/>
      <c r="U18"/>
      <c r="V18"/>
      <c r="W18"/>
      <c r="Z18"/>
      <c r="AA18"/>
      <c r="AB18"/>
      <c r="AE18"/>
      <c r="AF18"/>
    </row>
    <row r="19" spans="1:32">
      <c r="A19" s="1" t="s">
        <v>97</v>
      </c>
      <c r="B19" s="1" t="str">
        <f>IFERROR(ROUND(AVERAGEIFS(问卷数据!$BE:$BE,问卷数据!$D:$D,$A$1,问卷数据!$BE:$BE,"&gt;0",问卷数据!$BE:$BE,"&lt;11"),2),"")</f>
        <v/>
      </c>
      <c r="C19" s="1" t="str">
        <f>IFERROR(ROUND(AVERAGEIFS(问卷数据!$BF:$BF,问卷数据!$D:$D,$A$1,问卷数据!$BF:$BF,"&gt;0",问卷数据!$BF:$BF,"&lt;11"),2),"")</f>
        <v/>
      </c>
      <c r="G19"/>
      <c r="H19"/>
      <c r="I19"/>
      <c r="L19"/>
      <c r="M19"/>
      <c r="N19"/>
      <c r="Q19"/>
      <c r="R19"/>
      <c r="S19"/>
      <c r="U19"/>
      <c r="V19"/>
      <c r="W19"/>
      <c r="Z19"/>
      <c r="AA19"/>
      <c r="AB19"/>
      <c r="AE19"/>
      <c r="AF19"/>
    </row>
  </sheetData>
  <phoneticPr fontId="1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9"/>
  <sheetViews>
    <sheetView workbookViewId="0">
      <selection activeCell="C9" sqref="C9"/>
    </sheetView>
  </sheetViews>
  <sheetFormatPr baseColWidth="10" defaultColWidth="8.83203125" defaultRowHeight="14"/>
  <cols>
    <col min="1" max="1" width="22.33203125" customWidth="1"/>
    <col min="2" max="3" width="9.6640625"/>
  </cols>
  <sheetData>
    <row r="1" spans="1:3">
      <c r="A1" s="2" t="s">
        <v>98</v>
      </c>
      <c r="B1" s="2" t="str">
        <f>IFERROR(ROUND(AVERAGE(B3,B11,B15),2),"")</f>
        <v/>
      </c>
      <c r="C1" s="2" t="str">
        <f>IFERROR(ROUND(AVERAGE(C3,C11,C15),2),"")</f>
        <v/>
      </c>
    </row>
    <row r="2" spans="1:3">
      <c r="A2" s="1" t="s">
        <v>78</v>
      </c>
      <c r="B2" s="1" t="s">
        <v>79</v>
      </c>
      <c r="C2" t="s">
        <v>80</v>
      </c>
    </row>
    <row r="3" spans="1:3">
      <c r="A3" s="3" t="s">
        <v>81</v>
      </c>
      <c r="B3" s="3" t="str">
        <f>IFERROR(ROUND(AVERAGE(B4:B10),2),"")</f>
        <v/>
      </c>
      <c r="C3" s="3" t="str">
        <f>IFERROR(ROUND(AVERAGE(C4:C10),2),"")</f>
        <v/>
      </c>
    </row>
    <row r="4" spans="1:3">
      <c r="A4" s="1" t="s">
        <v>100</v>
      </c>
      <c r="B4" s="1" t="str">
        <f>IFERROR(ROUND(AVERAGEIFS(问卷数据!$AK:$AK,问卷数据!$D:$D,$A$1,问卷数据!$AK:$AK,"&gt;0",问卷数据!$AK:$AK,"&lt;11"),2),"")</f>
        <v/>
      </c>
      <c r="C4" s="1" t="str">
        <f>IFERROR(ROUND(AVERAGEIFS(问卷数据!$AL:$AL,问卷数据!$D:$D,$A$1,问卷数据!$AL:$AL,"&gt;0",问卷数据!$AL:$AL,"&lt;11"),2),"")</f>
        <v/>
      </c>
    </row>
    <row r="5" spans="1:3">
      <c r="A5" s="1" t="s">
        <v>101</v>
      </c>
      <c r="B5" s="1" t="str">
        <f>IFERROR(ROUND(AVERAGEIFS(问卷数据!$AI:$AI,问卷数据!$D:$D,$A$1,问卷数据!$AI:$AI,"&gt;0",问卷数据!$AI:$AI,"&lt;11"),2),"")</f>
        <v/>
      </c>
      <c r="C5" s="1" t="str">
        <f>IFERROR(ROUND(AVERAGEIFS(问卷数据!$AJ:$AJ,问卷数据!$D:$D,$A$1,问卷数据!$AJ:$AJ,"&gt;0",问卷数据!$AJ:$AJ,"&lt;11"),2),"")</f>
        <v/>
      </c>
    </row>
    <row r="6" spans="1:3">
      <c r="A6" s="1" t="s">
        <v>102</v>
      </c>
      <c r="B6" s="1" t="str">
        <f>IFERROR(ROUND(AVERAGEIFS(问卷数据!$AC:$AC,问卷数据!$D:$D,$A$1,问卷数据!$AC:$AC,"&gt;0",问卷数据!$AC:$AC,"&lt;11"),2),"")</f>
        <v/>
      </c>
      <c r="C6" s="1" t="str">
        <f>IFERROR(ROUND(AVERAGEIFS(问卷数据!$AD:$AD,问卷数据!$D:$D,$A$1,问卷数据!$AD:$AD,"&gt;0",问卷数据!$AD:$AD,"&lt;11"),2),"")</f>
        <v/>
      </c>
    </row>
    <row r="7" spans="1:3">
      <c r="A7" s="1" t="s">
        <v>103</v>
      </c>
      <c r="B7" s="1" t="str">
        <f>IFERROR(ROUND(AVERAGEIFS(问卷数据!$AE:$AE,问卷数据!$D:$D,$A$1,问卷数据!$AE:$AE,"&gt;0",问卷数据!$AE:$AE,"&lt;11"),2),"")</f>
        <v/>
      </c>
      <c r="C7" s="1" t="str">
        <f>IFERROR(ROUND(AVERAGEIFS(问卷数据!$AF:$AF,问卷数据!$D:$D,$A$1,问卷数据!$AF:$AF,"&gt;0",问卷数据!$AF:$AF,"&lt;11"),2),"")</f>
        <v/>
      </c>
    </row>
    <row r="8" spans="1:3">
      <c r="A8" s="1" t="s">
        <v>86</v>
      </c>
      <c r="B8" s="1" t="str">
        <f>IFERROR(ROUND(AVERAGEIFS(问卷数据!$AM:$AM,问卷数据!$D:$D,$A$1,问卷数据!$AM:$AM,"&gt;0",问卷数据!$AM:$AM,"&lt;11"),2),"")</f>
        <v/>
      </c>
      <c r="C8" s="1" t="str">
        <f>IFERROR(ROUND(AVERAGEIFS(问卷数据!$AN:$AN,问卷数据!$D:$D,$A$1,问卷数据!$AN:$AN,"&gt;0",问卷数据!$AN:$AN,"&lt;11"),2),"")</f>
        <v/>
      </c>
    </row>
    <row r="9" spans="1:3">
      <c r="A9" s="1" t="s">
        <v>87</v>
      </c>
      <c r="B9" s="1" t="str">
        <f>IFERROR(ROUND(AVERAGEIFS(问卷数据!$M:$M,问卷数据!$D:$D,$A$1,问卷数据!$M:$M,"&gt;0",问卷数据!$M:$M,"&lt;11"),2),"")</f>
        <v/>
      </c>
      <c r="C9" s="1" t="str">
        <f>IFERROR(ROUND(AVERAGEIFS(问卷数据!$N:$N,问卷数据!$D:$D,$A$1,问卷数据!$N:$N,"&gt;0",问卷数据!$N:$N,"&lt;11"),2),"")</f>
        <v/>
      </c>
    </row>
    <row r="10" spans="1:3">
      <c r="A10" s="1" t="s">
        <v>88</v>
      </c>
      <c r="B10" s="1" t="str">
        <f>IFERROR(ROUND(AVERAGEIFS(问卷数据!$O:$O,问卷数据!$D:$D,$A$1,问卷数据!$O:$O,"&gt;0",问卷数据!$O:$O,"&lt;11"),2),"")</f>
        <v/>
      </c>
      <c r="C10" s="1" t="str">
        <f>IFERROR(ROUND(AVERAGEIFS(问卷数据!$P:$P,问卷数据!$D:$D,$A$1,问卷数据!$P:$P,"&gt;0",问卷数据!$P:$P,"&lt;11"),2),"")</f>
        <v/>
      </c>
    </row>
    <row r="11" spans="1:3">
      <c r="A11" s="3" t="s">
        <v>89</v>
      </c>
      <c r="B11" s="3" t="str">
        <f>IFERROR(ROUND(AVERAGE(B12:B14),2),"")</f>
        <v/>
      </c>
      <c r="C11" s="3" t="str">
        <f>IFERROR(ROUND(AVERAGE(C12:C14),2),"")</f>
        <v/>
      </c>
    </row>
    <row r="12" spans="1:3">
      <c r="A12" s="1" t="s">
        <v>90</v>
      </c>
      <c r="B12" s="1" t="str">
        <f>IFERROR(ROUND(AVERAGEIFS(问卷数据!$I:$I,问卷数据!$D:$D,$A$1,问卷数据!$I:$I,"&gt;0",问卷数据!$I:$I,"&lt;11"),2),"")</f>
        <v/>
      </c>
      <c r="C12" s="1" t="str">
        <f>IFERROR(ROUND(AVERAGEIFS(问卷数据!$J:$J,问卷数据!$D:$D,$A$1,问卷数据!$J:$J,"&gt;0",问卷数据!$J:$J,"&lt;11"),2),"")</f>
        <v/>
      </c>
    </row>
    <row r="13" spans="1:3">
      <c r="A13" s="1" t="s">
        <v>91</v>
      </c>
      <c r="B13" s="1" t="str">
        <f>IFERROR(ROUND(AVERAGEIFS(问卷数据!$G:$G,问卷数据!$D:$D,$A$1,问卷数据!$G:$G,"&gt;0",问卷数据!$G:$G,"&lt;11"),2),"")</f>
        <v/>
      </c>
      <c r="C13" s="1" t="str">
        <f>IFERROR(ROUND(AVERAGEIFS(问卷数据!$H:$H,问卷数据!$D:$D,$A$1,问卷数据!$H:$H,"&gt;0",问卷数据!$H:$H,"&lt;11"),2),"")</f>
        <v/>
      </c>
    </row>
    <row r="14" spans="1:3">
      <c r="A14" s="1" t="s">
        <v>92</v>
      </c>
      <c r="B14" s="1" t="str">
        <f>IFERROR(ROUND(AVERAGEIFS(问卷数据!$K:$K,问卷数据!$D:$D,$A$1,问卷数据!$K:$K,"&gt;0",问卷数据!$K:$K,"&lt;11"),2),"")</f>
        <v/>
      </c>
      <c r="C14" s="1" t="str">
        <f>IFERROR(ROUND(AVERAGEIFS(问卷数据!$L:$L,问卷数据!$D:$D,$A$1,问卷数据!$L:$L,"&gt;0",问卷数据!$L:$L,"&lt;11"),2),"")</f>
        <v/>
      </c>
    </row>
    <row r="15" spans="1:3">
      <c r="A15" s="3" t="s">
        <v>93</v>
      </c>
      <c r="B15" s="3" t="str">
        <f>IFERROR(ROUND(AVERAGE(B16:B19),2),"")</f>
        <v/>
      </c>
      <c r="C15" s="3" t="str">
        <f>IFERROR(ROUND(AVERAGE(C16:C19),2),"")</f>
        <v/>
      </c>
    </row>
    <row r="16" spans="1:3">
      <c r="A16" s="1" t="s">
        <v>94</v>
      </c>
      <c r="B16" s="1" t="str">
        <f>IFERROR(ROUND(AVERAGEIFS(问卷数据!$AV:$AV,问卷数据!$D:$D,$A$1,问卷数据!$AV:$AV,"&gt;0",问卷数据!$AV:$AV,"&lt;11"),2),"")</f>
        <v/>
      </c>
      <c r="C16" s="1" t="str">
        <f>IFERROR(ROUND(AVERAGEIFS(问卷数据!$AW:$AW,问卷数据!$D:$D,$A$1,问卷数据!$AW:$AW,"&gt;0",问卷数据!$AW:$AW,"&lt;11"),2),"")</f>
        <v/>
      </c>
    </row>
    <row r="17" spans="1:3">
      <c r="A17" s="1" t="s">
        <v>95</v>
      </c>
      <c r="B17" s="1" t="str">
        <f>IFERROR(ROUND(AVERAGEIFS(问卷数据!$BB:$BB,问卷数据!$D:$D,$A$1,问卷数据!$BB:$BB,"&gt;0",问卷数据!$BB:$BB,"&lt;11"),2),"")</f>
        <v/>
      </c>
      <c r="C17" s="1" t="str">
        <f>IFERROR(ROUND(AVERAGEIFS(问卷数据!$BC:$BC,问卷数据!$D:$D,$A$1,问卷数据!$BC:$BC,"&gt;0",问卷数据!$BC:$BC,"&lt;11"),2),"")</f>
        <v/>
      </c>
    </row>
    <row r="18" spans="1:3">
      <c r="A18" s="1" t="s">
        <v>96</v>
      </c>
      <c r="B18" s="1" t="str">
        <f>IFERROR(ROUND(AVERAGEIFS(问卷数据!$AY:$AY,问卷数据!$D:$D,$A$1,问卷数据!$AY:$AY,"&gt;0",问卷数据!$AY:$AY,"&lt;11"),2),"")</f>
        <v/>
      </c>
      <c r="C18" s="1" t="str">
        <f>IFERROR(ROUND(AVERAGEIFS(问卷数据!$AZ:$AZ,问卷数据!$D:$D,$A$1,问卷数据!$AZ:$AZ,"&gt;0",问卷数据!$AZ:$AZ,"&lt;11"),2),"")</f>
        <v/>
      </c>
    </row>
    <row r="19" spans="1:3">
      <c r="A19" s="1" t="s">
        <v>97</v>
      </c>
      <c r="B19" s="1" t="str">
        <f>IFERROR(ROUND(AVERAGEIFS(问卷数据!$BE:$BE,问卷数据!$D:$D,$A$1,问卷数据!$BE:$BE,"&gt;0",问卷数据!$BE:$BE,"&lt;11"),2),"")</f>
        <v/>
      </c>
      <c r="C19" s="1" t="str">
        <f>IFERROR(ROUND(AVERAGEIFS(问卷数据!$BF:$BF,问卷数据!$D:$D,$A$1,问卷数据!$BF:$BF,"&gt;0",问卷数据!$BF:$BF,"&lt;11"),2),"")</f>
        <v/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019B-A75C-804A-A6AE-25B59AE79883}">
  <dimension ref="A1:C19"/>
  <sheetViews>
    <sheetView workbookViewId="0">
      <selection activeCell="C4" sqref="C4"/>
    </sheetView>
  </sheetViews>
  <sheetFormatPr baseColWidth="10" defaultColWidth="8.83203125" defaultRowHeight="14"/>
  <cols>
    <col min="1" max="1" width="15.1640625" customWidth="1"/>
  </cols>
  <sheetData>
    <row r="1" spans="1:3">
      <c r="A1" s="2" t="s">
        <v>99</v>
      </c>
      <c r="B1" s="2" t="str">
        <f>IFERROR(ROUND(AVERAGE(B3,B11,B15),2),"")</f>
        <v/>
      </c>
      <c r="C1" s="2" t="str">
        <f>IFERROR(ROUND(AVERAGE(C3,C11,C15),2),"")</f>
        <v/>
      </c>
    </row>
    <row r="2" spans="1:3">
      <c r="A2" s="1" t="s">
        <v>78</v>
      </c>
      <c r="B2" s="1" t="s">
        <v>79</v>
      </c>
      <c r="C2" t="s">
        <v>80</v>
      </c>
    </row>
    <row r="3" spans="1:3">
      <c r="A3" s="3" t="s">
        <v>81</v>
      </c>
      <c r="B3" s="3" t="str">
        <f>IFERROR(ROUND(AVERAGE(B4:B10),2),"")</f>
        <v/>
      </c>
      <c r="C3" s="3" t="str">
        <f>IFERROR(ROUND(AVERAGE(C4:C10),2),"")</f>
        <v/>
      </c>
    </row>
    <row r="4" spans="1:3">
      <c r="A4" s="1" t="s">
        <v>100</v>
      </c>
      <c r="B4" s="1" t="str">
        <f>IFERROR(ROUND(AVERAGEIFS(问卷数据!$AK:$AK,问卷数据!$D:$D,$A$1,问卷数据!$AK:$AK,"&gt;0",问卷数据!$AK:$AK,"&lt;11"),2),"")</f>
        <v/>
      </c>
      <c r="C4" s="1" t="str">
        <f>IFERROR(ROUND(AVERAGEIFS(问卷数据!$AL:$AL,问卷数据!$D:$D,$A$1,问卷数据!$AL:$AL,"&gt;0",问卷数据!$AL:$AL,"&lt;11"),2),"")</f>
        <v/>
      </c>
    </row>
    <row r="5" spans="1:3">
      <c r="A5" s="1" t="s">
        <v>101</v>
      </c>
      <c r="B5" s="1" t="str">
        <f>IFERROR(ROUND(AVERAGEIFS(问卷数据!$AI:$AI,问卷数据!$D:$D,$A$1,问卷数据!$AI:$AI,"&gt;0",问卷数据!$AI:$AI,"&lt;11"),2),"")</f>
        <v/>
      </c>
      <c r="C5" s="1" t="str">
        <f>IFERROR(ROUND(AVERAGEIFS(问卷数据!$AJ:$AJ,问卷数据!$D:$D,$A$1,问卷数据!$AJ:$AJ,"&gt;0",问卷数据!$AJ:$AJ,"&lt;11"),2),"")</f>
        <v/>
      </c>
    </row>
    <row r="6" spans="1:3">
      <c r="A6" s="1" t="s">
        <v>102</v>
      </c>
      <c r="B6" s="1" t="str">
        <f>IFERROR(ROUND(AVERAGEIFS(问卷数据!$AC:$AC,问卷数据!$D:$D,$A$1,问卷数据!$AC:$AC,"&gt;0",问卷数据!$AC:$AC,"&lt;11"),2),"")</f>
        <v/>
      </c>
      <c r="C6" s="1" t="str">
        <f>IFERROR(ROUND(AVERAGEIFS(问卷数据!$AD:$AD,问卷数据!$D:$D,$A$1,问卷数据!$AD:$AD,"&gt;0",问卷数据!$AD:$AD,"&lt;11"),2),"")</f>
        <v/>
      </c>
    </row>
    <row r="7" spans="1:3">
      <c r="A7" s="1" t="s">
        <v>103</v>
      </c>
      <c r="B7" s="1" t="str">
        <f>IFERROR(ROUND(AVERAGEIFS(问卷数据!$AE:$AE,问卷数据!$D:$D,$A$1,问卷数据!$AE:$AE,"&gt;0",问卷数据!$AE:$AE,"&lt;11"),2),"")</f>
        <v/>
      </c>
      <c r="C7" s="1" t="str">
        <f>IFERROR(ROUND(AVERAGEIFS(问卷数据!$AF:$AF,问卷数据!$D:$D,$A$1,问卷数据!$AF:$AF,"&gt;0",问卷数据!$AF:$AF,"&lt;11"),2),"")</f>
        <v/>
      </c>
    </row>
    <row r="8" spans="1:3">
      <c r="A8" s="1" t="s">
        <v>86</v>
      </c>
      <c r="B8" s="1" t="str">
        <f>IFERROR(ROUND(AVERAGEIFS(问卷数据!$AM:$AM,问卷数据!$D:$D,$A$1,问卷数据!$AM:$AM,"&gt;0",问卷数据!$AM:$AM,"&lt;11"),2),"")</f>
        <v/>
      </c>
      <c r="C8" s="1" t="str">
        <f>IFERROR(ROUND(AVERAGEIFS(问卷数据!$AN:$AN,问卷数据!$D:$D,$A$1,问卷数据!$AN:$AN,"&gt;0",问卷数据!$AN:$AN,"&lt;11"),2),"")</f>
        <v/>
      </c>
    </row>
    <row r="9" spans="1:3">
      <c r="A9" s="1" t="s">
        <v>87</v>
      </c>
      <c r="B9" s="1" t="str">
        <f>IFERROR(ROUND(AVERAGEIFS(问卷数据!$M:$M,问卷数据!$D:$D,$A$1,问卷数据!$M:$M,"&gt;0",问卷数据!$M:$M,"&lt;11"),2),"")</f>
        <v/>
      </c>
      <c r="C9" s="1" t="str">
        <f>IFERROR(ROUND(AVERAGEIFS(问卷数据!$N:$N,问卷数据!$D:$D,$A$1,问卷数据!$N:$N,"&gt;0",问卷数据!$N:$N,"&lt;11"),2),"")</f>
        <v/>
      </c>
    </row>
    <row r="10" spans="1:3">
      <c r="A10" s="1" t="s">
        <v>88</v>
      </c>
      <c r="B10" s="1" t="str">
        <f>IFERROR(ROUND(AVERAGEIFS(问卷数据!$O:$O,问卷数据!$D:$D,$A$1,问卷数据!$O:$O,"&gt;0",问卷数据!$O:$O,"&lt;11"),2),"")</f>
        <v/>
      </c>
      <c r="C10" s="1" t="str">
        <f>IFERROR(ROUND(AVERAGEIFS(问卷数据!$P:$P,问卷数据!$D:$D,$A$1,问卷数据!$P:$P,"&gt;0",问卷数据!$P:$P,"&lt;11"),2),"")</f>
        <v/>
      </c>
    </row>
    <row r="11" spans="1:3">
      <c r="A11" s="3" t="s">
        <v>89</v>
      </c>
      <c r="B11" s="3" t="str">
        <f>IFERROR(ROUND(AVERAGE(B12:B14),2),"")</f>
        <v/>
      </c>
      <c r="C11" s="3" t="str">
        <f>IFERROR(ROUND(AVERAGE(C12:C14),2),"")</f>
        <v/>
      </c>
    </row>
    <row r="12" spans="1:3">
      <c r="A12" s="1" t="s">
        <v>90</v>
      </c>
      <c r="B12" s="1" t="str">
        <f>IFERROR(ROUND(AVERAGEIFS(问卷数据!$I:$I,问卷数据!$D:$D,$A$1,问卷数据!$I:$I,"&gt;0",问卷数据!$I:$I,"&lt;11"),2),"")</f>
        <v/>
      </c>
      <c r="C12" s="1" t="str">
        <f>IFERROR(ROUND(AVERAGEIFS(问卷数据!$J:$J,问卷数据!$D:$D,$A$1,问卷数据!$J:$J,"&gt;0",问卷数据!$J:$J,"&lt;11"),2),"")</f>
        <v/>
      </c>
    </row>
    <row r="13" spans="1:3">
      <c r="A13" s="1" t="s">
        <v>91</v>
      </c>
      <c r="B13" s="1" t="str">
        <f>IFERROR(ROUND(AVERAGEIFS(问卷数据!$G:$G,问卷数据!$D:$D,$A$1,问卷数据!$G:$G,"&gt;0",问卷数据!$G:$G,"&lt;11"),2),"")</f>
        <v/>
      </c>
      <c r="C13" s="1" t="str">
        <f>IFERROR(ROUND(AVERAGEIFS(问卷数据!$H:$H,问卷数据!$D:$D,$A$1,问卷数据!$H:$H,"&gt;0",问卷数据!$H:$H,"&lt;11"),2),"")</f>
        <v/>
      </c>
    </row>
    <row r="14" spans="1:3">
      <c r="A14" s="1" t="s">
        <v>92</v>
      </c>
      <c r="B14" s="1" t="str">
        <f>IFERROR(ROUND(AVERAGEIFS(问卷数据!$K:$K,问卷数据!$D:$D,$A$1,问卷数据!$K:$K,"&gt;0",问卷数据!$K:$K,"&lt;11"),2),"")</f>
        <v/>
      </c>
      <c r="C14" s="1" t="str">
        <f>IFERROR(ROUND(AVERAGEIFS(问卷数据!$L:$L,问卷数据!$D:$D,$A$1,问卷数据!$L:$L,"&gt;0",问卷数据!$L:$L,"&lt;11"),2),"")</f>
        <v/>
      </c>
    </row>
    <row r="15" spans="1:3">
      <c r="A15" s="3" t="s">
        <v>93</v>
      </c>
      <c r="B15" s="3" t="str">
        <f>IFERROR(ROUND(AVERAGE(B16:B19),2),"")</f>
        <v/>
      </c>
      <c r="C15" s="3" t="str">
        <f>IFERROR(ROUND(AVERAGE(C16:C19),2),"")</f>
        <v/>
      </c>
    </row>
    <row r="16" spans="1:3">
      <c r="A16" s="1" t="s">
        <v>94</v>
      </c>
      <c r="B16" s="1" t="str">
        <f>IFERROR(ROUND(AVERAGEIFS(问卷数据!$AV:$AV,问卷数据!$D:$D,$A$1,问卷数据!$AV:$AV,"&gt;0",问卷数据!$AV:$AV,"&lt;11"),2),"")</f>
        <v/>
      </c>
      <c r="C16" s="1" t="str">
        <f>IFERROR(ROUND(AVERAGEIFS(问卷数据!$AW:$AW,问卷数据!$D:$D,$A$1,问卷数据!$AW:$AW,"&gt;0",问卷数据!$AW:$AW,"&lt;11"),2),"")</f>
        <v/>
      </c>
    </row>
    <row r="17" spans="1:3">
      <c r="A17" s="1" t="s">
        <v>95</v>
      </c>
      <c r="B17" s="1" t="str">
        <f>IFERROR(ROUND(AVERAGEIFS(问卷数据!$BB:$BB,问卷数据!$D:$D,$A$1,问卷数据!$BB:$BB,"&gt;0",问卷数据!$BB:$BB,"&lt;11"),2),"")</f>
        <v/>
      </c>
      <c r="C17" s="1" t="str">
        <f>IFERROR(ROUND(AVERAGEIFS(问卷数据!$BC:$BC,问卷数据!$D:$D,$A$1,问卷数据!$BC:$BC,"&gt;0",问卷数据!$BC:$BC,"&lt;11"),2),"")</f>
        <v/>
      </c>
    </row>
    <row r="18" spans="1:3">
      <c r="A18" s="1" t="s">
        <v>96</v>
      </c>
      <c r="B18" s="1" t="str">
        <f>IFERROR(ROUND(AVERAGEIFS(问卷数据!$AY:$AY,问卷数据!$D:$D,$A$1,问卷数据!$AY:$AY,"&gt;0",问卷数据!$AY:$AY,"&lt;11"),2),"")</f>
        <v/>
      </c>
      <c r="C18" s="1" t="str">
        <f>IFERROR(ROUND(AVERAGEIFS(问卷数据!$AZ:$AZ,问卷数据!$D:$D,$A$1,问卷数据!$AZ:$AZ,"&gt;0",问卷数据!$AZ:$AZ,"&lt;11"),2),"")</f>
        <v/>
      </c>
    </row>
    <row r="19" spans="1:3">
      <c r="A19" s="1" t="s">
        <v>97</v>
      </c>
      <c r="B19" s="1" t="str">
        <f>IFERROR(ROUND(AVERAGEIFS(问卷数据!$BE:$BE,问卷数据!$D:$D,$A$1,问卷数据!$BE:$BE,"&gt;0",问卷数据!$BE:$BE,"&lt;11"),2),"")</f>
        <v/>
      </c>
      <c r="C19" s="1" t="str">
        <f>IFERROR(ROUND(AVERAGEIFS(问卷数据!$BF:$BF,问卷数据!$D:$D,$A$1,问卷数据!$BF:$BF,"&gt;0",问卷数据!$BF:$BF,"&lt;11"),2),"")</f>
        <v/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2"/>
  <sheetViews>
    <sheetView zoomScale="88" zoomScaleNormal="72" workbookViewId="0">
      <selection activeCell="C4" sqref="C4"/>
    </sheetView>
  </sheetViews>
  <sheetFormatPr baseColWidth="10" defaultColWidth="8.83203125" defaultRowHeight="14"/>
  <cols>
    <col min="1" max="1" width="19.33203125" customWidth="1"/>
    <col min="2" max="3" width="9.6640625"/>
  </cols>
  <sheetData>
    <row r="1" spans="1:3">
      <c r="A1" s="2" t="s">
        <v>104</v>
      </c>
      <c r="B1" s="2" t="str">
        <f>IFERROR(ROUND(AVERAGE(B3,B13,B18),2),"")</f>
        <v/>
      </c>
      <c r="C1" s="2" t="str">
        <f>IFERROR(ROUND(AVERAGE(C3,C13,C18),2),"")</f>
        <v/>
      </c>
    </row>
    <row r="2" spans="1:3">
      <c r="A2" s="1" t="s">
        <v>78</v>
      </c>
      <c r="B2" s="1" t="s">
        <v>79</v>
      </c>
      <c r="C2" t="s">
        <v>80</v>
      </c>
    </row>
    <row r="3" spans="1:3">
      <c r="A3" s="3" t="s">
        <v>81</v>
      </c>
      <c r="B3" s="3" t="str">
        <f>IFERROR(ROUND(AVERAGE(B4:B12),2),"")</f>
        <v/>
      </c>
      <c r="C3" s="3" t="str">
        <f>IFERROR(ROUND(AVERAGE(C4:C12),2),"")</f>
        <v/>
      </c>
    </row>
    <row r="4" spans="1:3">
      <c r="A4" s="1" t="s">
        <v>100</v>
      </c>
      <c r="B4" s="1" t="str">
        <f>IFERROR(ROUND(AVERAGEIFS(问卷数据!$AK:$AK,问卷数据!D:D,A1,问卷数据!$AK:$AK,"&gt;0",问卷数据!$AK:$AK,"&lt;11"),2),"")</f>
        <v/>
      </c>
      <c r="C4" s="1" t="str">
        <f>IFERROR(ROUND(AVERAGEIFS(问卷数据!$AL:$AL,问卷数据!$D:$D,$A1,问卷数据!$AL:$AL,"&gt;0",问卷数据!$AL:$AL,"&lt;11"),2),"")</f>
        <v/>
      </c>
    </row>
    <row r="5" spans="1:3">
      <c r="A5" s="1" t="s">
        <v>105</v>
      </c>
      <c r="B5" s="1" t="str">
        <f>IFERROR(ROUND(AVERAGEIFS(问卷数据!AG:AG,问卷数据!$D:$D,$A$1,问卷数据!AG:AG,"&gt;0",问卷数据!AG:AG,"&lt;11"),2),"")</f>
        <v/>
      </c>
      <c r="C5" s="1" t="str">
        <f>IFERROR(ROUND(AVERAGEIFS(问卷数据!AH:AH,问卷数据!$D:$D,$A$1,问卷数据!AH:AH,"&gt;0",问卷数据!AH:AH,"&lt;11"),2),"")</f>
        <v/>
      </c>
    </row>
    <row r="6" spans="1:3">
      <c r="A6" s="1" t="s">
        <v>106</v>
      </c>
      <c r="B6" s="1" t="str">
        <f>IFERROR(ROUND(AVERAGEIFS(问卷数据!$AC:$AC,问卷数据!$D:$D,$A$1,问卷数据!$AC:$AC,"&gt;0",问卷数据!$AC:$AC,"&lt;11"),2),"")</f>
        <v/>
      </c>
      <c r="C6" s="1" t="str">
        <f>IFERROR(ROUND(AVERAGEIFS(问卷数据!$AD:$AD,问卷数据!$D:$D,$A$1,问卷数据!$AD:$AD,"&gt;0",问卷数据!$AD:$AD,"&lt;11"),2),"")</f>
        <v/>
      </c>
    </row>
    <row r="7" spans="1:3">
      <c r="A7" s="1" t="s">
        <v>107</v>
      </c>
      <c r="B7" s="1" t="str">
        <f>IFERROR(ROUND(AVERAGEIFS(问卷数据!$AA:$AA,问卷数据!$D:$D,$A$1,问卷数据!$AA:$AA,"&gt;0",问卷数据!$AA:$AA,"&lt;11"),2),"")</f>
        <v/>
      </c>
      <c r="C7" s="1" t="str">
        <f>IFERROR(ROUND(AVERAGEIFS(问卷数据!$AB:$AB,问卷数据!$D:$D,$A$1,问卷数据!$AB:$AB,"&gt;0",问卷数据!$AB:$AB,"&lt;11"),2),"")</f>
        <v/>
      </c>
    </row>
    <row r="8" spans="1:3">
      <c r="A8" s="1" t="s">
        <v>84</v>
      </c>
      <c r="B8" s="1" t="str">
        <f>IFERROR(ROUND(AVERAGEIFS(问卷数据!$U:$U,问卷数据!$D:$D,$A$1,问卷数据!$U:$U,"&gt;0",问卷数据!$U:$U,"&lt;11"),2),"")</f>
        <v/>
      </c>
      <c r="C8" s="1" t="str">
        <f>IFERROR(ROUND(AVERAGEIFS(问卷数据!$V:$V,问卷数据!$D:$D,$A$1,问卷数据!$V:$V,"&gt;0",问卷数据!$V:$V,"&lt;11"),2),"")</f>
        <v/>
      </c>
    </row>
    <row r="9" spans="1:3">
      <c r="A9" s="1" t="s">
        <v>108</v>
      </c>
      <c r="B9" s="1" t="str">
        <f>IFERROR(ROUND(AVERAGEIFS(问卷数据!$S:$S,问卷数据!$D:$D,$A$1,问卷数据!$S:$S,"&gt;0",问卷数据!$S:$S,"&lt;11"),2),"")</f>
        <v/>
      </c>
      <c r="C9" s="1" t="str">
        <f>IFERROR(ROUND(AVERAGEIFS(问卷数据!$T:$T,问卷数据!$D:$D,$A$1,问卷数据!$T:$T,"&gt;0",问卷数据!$T:$T,"&lt;11"),2),"")</f>
        <v/>
      </c>
    </row>
    <row r="10" spans="1:3">
      <c r="A10" s="1" t="s">
        <v>87</v>
      </c>
      <c r="B10" s="1" t="str">
        <f>IFERROR(ROUND(AVERAGEIFS(问卷数据!$M:$M,问卷数据!$D:$D,$A$1,问卷数据!$M:$M,"&gt;0",问卷数据!$M:$M,"&lt;11"),2),"")</f>
        <v/>
      </c>
      <c r="C10" s="1" t="str">
        <f>IFERROR(ROUND(AVERAGEIFS(问卷数据!$N:$N,问卷数据!$D:$D,$A$1,问卷数据!$N:$N,"&gt;0",问卷数据!$N:$N,"&lt;11"),2),"")</f>
        <v/>
      </c>
    </row>
    <row r="11" spans="1:3">
      <c r="A11" s="1" t="s">
        <v>88</v>
      </c>
      <c r="B11" s="1" t="str">
        <f>IFERROR(ROUND(AVERAGEIFS(问卷数据!$O:$O,问卷数据!$D:$D,$A$1,问卷数据!$O:$O,"&gt;0",问卷数据!$O:$O,"&lt;11"),2),"")</f>
        <v/>
      </c>
      <c r="C11" s="1" t="str">
        <f>IFERROR(ROUND(AVERAGEIFS(问卷数据!$P:$P,问卷数据!$D:$D,$A$1,问卷数据!$P:$P,"&gt;0",问卷数据!$P:$P,"&lt;11"),2),"")</f>
        <v/>
      </c>
    </row>
    <row r="12" spans="1:3">
      <c r="A12" s="1" t="s">
        <v>86</v>
      </c>
      <c r="B12" s="1" t="str">
        <f>IFERROR(ROUND(AVERAGEIFS(问卷数据!$AM:$AM,问卷数据!$D:$D,$A$1,问卷数据!$AM:$AM,"&gt;0",问卷数据!$AM:$AM,"&lt;11"),2),"")</f>
        <v/>
      </c>
      <c r="C12" s="1" t="str">
        <f>IFERROR(ROUND(AVERAGEIFS(问卷数据!$AN:$AN,问卷数据!$D:$D,$A$1,问卷数据!$AN:$AN,"&gt;0",问卷数据!$AN:$AN,"&lt;11"),2),"")</f>
        <v/>
      </c>
    </row>
    <row r="13" spans="1:3">
      <c r="A13" s="3" t="s">
        <v>89</v>
      </c>
      <c r="B13" s="3" t="str">
        <f>IFERROR(ROUND(AVERAGE(B14:B17),2),"")</f>
        <v/>
      </c>
      <c r="C13" s="3" t="str">
        <f>IFERROR(ROUND(AVERAGE(C14:C17),2),"")</f>
        <v/>
      </c>
    </row>
    <row r="14" spans="1:3">
      <c r="A14" s="1" t="s">
        <v>92</v>
      </c>
      <c r="B14" s="1" t="str">
        <f>IFERROR(ROUND(AVERAGEIFS(问卷数据!$K:$K,问卷数据!$D:$D,$A$1,问卷数据!$K:$K,"&gt;0",问卷数据!$K:$K,"&lt;11"),2),"")</f>
        <v/>
      </c>
      <c r="C14" s="1" t="str">
        <f>IFERROR(ROUND(AVERAGEIFS(问卷数据!$L:$L,问卷数据!$D:$D,$A$1,问卷数据!$L:$L,"&gt;0",问卷数据!$L:$L,"&lt;11"),2),"")</f>
        <v/>
      </c>
    </row>
    <row r="15" spans="1:3">
      <c r="A15" s="1" t="s">
        <v>109</v>
      </c>
      <c r="B15" s="1" t="str">
        <f>IFERROR(ROUND(AVERAGEIFS(问卷数据!$Q:$Q,问卷数据!$D:$D,$A$1,问卷数据!$Q:$Q,"&gt;0",问卷数据!$Q:$Q,"&lt;11"),2),"")</f>
        <v/>
      </c>
      <c r="C15" s="1" t="str">
        <f>IFERROR(ROUND(AVERAGEIFS(问卷数据!$R:$R,问卷数据!$D:$D,$A$1,问卷数据!$R:$R,"&gt;0",问卷数据!$R:$R,"&lt;11"),2),"")</f>
        <v/>
      </c>
    </row>
    <row r="16" spans="1:3">
      <c r="A16" s="1" t="s">
        <v>90</v>
      </c>
      <c r="B16" s="1" t="str">
        <f>IFERROR(ROUND(AVERAGEIFS(问卷数据!$I:$I,问卷数据!$D:$D,$A$1,问卷数据!$I:$I,"&gt;0",问卷数据!$I:$I,"&lt;11"),2),"")</f>
        <v/>
      </c>
      <c r="C16" s="1" t="str">
        <f>IFERROR(ROUND(AVERAGEIFS(问卷数据!$J:$J,问卷数据!$D:$D,$A$1,问卷数据!$J:$J,"&gt;0",问卷数据!$J:$J,"&lt;11"),2),"")</f>
        <v/>
      </c>
    </row>
    <row r="17" spans="1:3">
      <c r="A17" s="1" t="s">
        <v>91</v>
      </c>
      <c r="B17" s="1" t="str">
        <f>IFERROR(ROUND(AVERAGEIFS(问卷数据!$G:$G,问卷数据!$D:$D,$A$1,问卷数据!$G:$G,"&gt;0",问卷数据!$G:$G,"&lt;11"),2),"")</f>
        <v/>
      </c>
      <c r="C17" s="1" t="str">
        <f>IFERROR(ROUND(AVERAGEIFS(问卷数据!$H:$H,问卷数据!$D:$D,$A$1,问卷数据!$H:$H,"&gt;0",问卷数据!$H:$H,"&lt;11"),2),"")</f>
        <v/>
      </c>
    </row>
    <row r="18" spans="1:3">
      <c r="A18" s="3" t="s">
        <v>93</v>
      </c>
      <c r="B18" s="3" t="str">
        <f>IFERROR(ROUND(AVERAGE(B19:B22),2),"")</f>
        <v/>
      </c>
      <c r="C18" s="3" t="str">
        <f>IFERROR(ROUND(AVERAGE(C19:C22),2),"")</f>
        <v/>
      </c>
    </row>
    <row r="19" spans="1:3">
      <c r="A19" s="1" t="s">
        <v>94</v>
      </c>
      <c r="B19" s="1" t="str">
        <f>IFERROR(ROUND(AVERAGEIFS(问卷数据!$AV:$AV,问卷数据!$D:$D,$A$1,问卷数据!$AV:$AV,"&gt;0",问卷数据!$AV:$AV,"&lt;11"),2),"")</f>
        <v/>
      </c>
      <c r="C19" s="1" t="str">
        <f>IFERROR(ROUND(AVERAGEIFS(问卷数据!$AW:$AW,问卷数据!$D:$D,$A$1,问卷数据!$AW:$AW,"&gt;0",问卷数据!$AW:$AW,"&lt;11"),2),"")</f>
        <v/>
      </c>
    </row>
    <row r="20" spans="1:3">
      <c r="A20" s="1" t="s">
        <v>95</v>
      </c>
      <c r="B20" s="1" t="str">
        <f>IFERROR(ROUND(AVERAGEIFS(问卷数据!$BB:$BB,问卷数据!$D:$D,$A$1,问卷数据!$BB:$BB,"&gt;0",问卷数据!$BB:$BB,"&lt;11"),2),"")</f>
        <v/>
      </c>
      <c r="C20" s="1" t="str">
        <f>IFERROR(ROUND(AVERAGEIFS(问卷数据!$BC:$BC,问卷数据!$D:$D,$A$1,问卷数据!$BC:$BC,"&gt;0",问卷数据!$BC:$BC,"&lt;11"),2),"")</f>
        <v/>
      </c>
    </row>
    <row r="21" spans="1:3">
      <c r="A21" s="1" t="s">
        <v>96</v>
      </c>
      <c r="B21" s="1" t="str">
        <f>IFERROR(ROUND(AVERAGEIFS(问卷数据!$AY:$AY,问卷数据!$D:$D,$A$1,问卷数据!$AY:$AY,"&gt;0",问卷数据!$AY:$AY,"&lt;11"),2),"")</f>
        <v/>
      </c>
      <c r="C21" s="1" t="str">
        <f>IFERROR(ROUND(AVERAGEIFS(问卷数据!$AZ:$AZ,问卷数据!$D:$D,$A$1,问卷数据!$AZ:$AZ,"&gt;0",问卷数据!$AZ:$AZ,"&lt;11"),2),"")</f>
        <v/>
      </c>
    </row>
    <row r="22" spans="1:3">
      <c r="A22" s="1" t="s">
        <v>97</v>
      </c>
      <c r="B22" s="1" t="str">
        <f>IFERROR(ROUND(AVERAGEIFS(问卷数据!$BE:$BE,问卷数据!$D:$D,$A$1,问卷数据!$BE:$BE,"&gt;0",问卷数据!$BE:$BE,"&lt;11"),2),"")</f>
        <v/>
      </c>
      <c r="C22" s="1" t="str">
        <f>IFERROR(ROUND(AVERAGEIFS(问卷数据!$BF:$BF,问卷数据!$D:$D,$A$1,问卷数据!$BF:$BF,"&gt;0",问卷数据!$BF:$BF,"&lt;11"),2),"")</f>
        <v/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24"/>
  <sheetViews>
    <sheetView tabSelected="1" zoomScale="140" workbookViewId="0">
      <selection activeCell="C10" sqref="C10"/>
    </sheetView>
  </sheetViews>
  <sheetFormatPr baseColWidth="10" defaultColWidth="8.83203125" defaultRowHeight="14"/>
  <cols>
    <col min="1" max="1" width="25" customWidth="1"/>
    <col min="2" max="4" width="9.6640625"/>
  </cols>
  <sheetData>
    <row r="1" spans="1:3">
      <c r="A1" s="2" t="s">
        <v>110</v>
      </c>
      <c r="B1" s="2" t="str">
        <f>IFERROR(ROUND(AVERAGE(B3,B15,B20),2),"")</f>
        <v/>
      </c>
      <c r="C1" s="2" t="str">
        <f>IFERROR(ROUND(AVERAGE(C3,C15,C20),2),"")</f>
        <v/>
      </c>
    </row>
    <row r="2" spans="1:3">
      <c r="A2" s="1" t="s">
        <v>78</v>
      </c>
      <c r="B2" s="1" t="s">
        <v>79</v>
      </c>
      <c r="C2" t="s">
        <v>80</v>
      </c>
    </row>
    <row r="3" spans="1:3">
      <c r="A3" s="3" t="s">
        <v>81</v>
      </c>
      <c r="B3" s="3" t="str">
        <f>IFERROR(ROUND(AVERAGE(B4:B14),2),"")</f>
        <v/>
      </c>
      <c r="C3" s="3" t="str">
        <f>IFERROR(ROUND(AVERAGE(C4:C14),2),"")</f>
        <v/>
      </c>
    </row>
    <row r="4" spans="1:3">
      <c r="A4" s="1" t="s">
        <v>108</v>
      </c>
      <c r="B4" s="1" t="str">
        <f>IFERROR(ROUND(AVERAGEIFS(问卷数据!$S:$S,问卷数据!$D:$D,$A$1,问卷数据!$S:$S,"&gt;0",问卷数据!$S:$S,"&lt;11"),2),"")</f>
        <v/>
      </c>
      <c r="C4" s="1" t="str">
        <f>IFERROR(ROUND(AVERAGEIFS(问卷数据!$T:$T,问卷数据!$D:$D,$A$1,问卷数据!$T:$T,"&gt;0",问卷数据!$T:$T,"&lt;11"),2),"")</f>
        <v/>
      </c>
    </row>
    <row r="5" spans="1:3">
      <c r="A5" s="1" t="s">
        <v>107</v>
      </c>
      <c r="B5" s="1" t="str">
        <f>IFERROR(ROUND(AVERAGEIFS(问卷数据!$AA:$AA,问卷数据!$D:$D,$A$1,问卷数据!$AA:$AA,"&gt;0",问卷数据!$AA:$AA,"&lt;11"),2),"")</f>
        <v/>
      </c>
      <c r="C5" s="1" t="str">
        <f>IFERROR(ROUND(AVERAGEIFS(问卷数据!$AB:$AB,问卷数据!$D:$D,$A$1,问卷数据!$AB:$AB,"&gt;0",问卷数据!$AB:$AB,"&lt;11"),2),"")</f>
        <v/>
      </c>
    </row>
    <row r="6" spans="1:3">
      <c r="A6" s="1" t="s">
        <v>84</v>
      </c>
      <c r="B6" s="1" t="str">
        <f>IFERROR(ROUND(AVERAGEIFS(问卷数据!$U:$U,问卷数据!$D:$D,$A$1,问卷数据!$U:$U,"&gt;0",问卷数据!$U:$U,"&lt;11"),2),"")</f>
        <v/>
      </c>
      <c r="C6" s="1" t="str">
        <f>IFERROR(ROUND(AVERAGEIFS(问卷数据!$V:$V,问卷数据!$D:$D,$A$1,问卷数据!$V:$V,"&gt;0",问卷数据!$V:$V,"&lt;11"),2),"")</f>
        <v/>
      </c>
    </row>
    <row r="7" spans="1:3">
      <c r="A7" s="1" t="s">
        <v>106</v>
      </c>
      <c r="B7" s="1" t="str">
        <f>IFERROR(ROUND(AVERAGEIFS(问卷数据!$AC:$AC,问卷数据!$D:$D,$A$1,问卷数据!$AC:$AC,"&gt;0",问卷数据!$AC:$AC,"&lt;11"),2),"")</f>
        <v/>
      </c>
      <c r="C7" s="1" t="str">
        <f>IFERROR(ROUND(AVERAGEIFS(问卷数据!$AD:$AD,问卷数据!$D:$D,$A$1,问卷数据!$AD:$AD,"&gt;0",问卷数据!$AD:$AD,"&lt;11"),2),"")</f>
        <v/>
      </c>
    </row>
    <row r="8" spans="1:3">
      <c r="A8" s="1" t="s">
        <v>87</v>
      </c>
      <c r="B8" s="1" t="str">
        <f>IFERROR(ROUND(AVERAGEIFS(问卷数据!$M:$M,问卷数据!$D:$D,$A$1,问卷数据!$M:$M,"&gt;0",问卷数据!$M:$M,"&lt;11"),2),"")</f>
        <v/>
      </c>
      <c r="C8" s="1" t="str">
        <f>IFERROR(ROUND(AVERAGEIFS(问卷数据!$N:$N,问卷数据!$D:$D,$A$1,问卷数据!$N:$N,"&gt;0",问卷数据!$N:$N,"&lt;11"),2),"")</f>
        <v/>
      </c>
    </row>
    <row r="9" spans="1:3">
      <c r="A9" s="1" t="s">
        <v>88</v>
      </c>
      <c r="B9" s="1" t="str">
        <f>IFERROR(ROUND(AVERAGEIFS(问卷数据!$O:$O,问卷数据!$D:$D,$A$1,问卷数据!$O:$O,"&gt;0",问卷数据!$O:$O,"&lt;11"),2),"")</f>
        <v/>
      </c>
      <c r="C9" s="1" t="str">
        <f>IFERROR(ROUND(AVERAGEIFS(问卷数据!$P:$P,问卷数据!$D:$D,$A$1,问卷数据!$P:$P,"&gt;0",问卷数据!$P:$P,"&lt;11"),2),"")</f>
        <v/>
      </c>
    </row>
    <row r="10" spans="1:3" ht="16">
      <c r="A10" s="1" t="s">
        <v>111</v>
      </c>
      <c r="B10" s="1" t="str">
        <f>IFERROR(ROUND(AVERAGEIFS(问卷数据!$AQ:$AQ,问卷数据!$D:$D,$A$1,问卷数据!$AQ:$AQ,"&gt;0",问卷数据!$AQ:$AQ,"&lt;11"),2),"")</f>
        <v/>
      </c>
      <c r="C10" s="6" t="str">
        <f>IFERROR(ROUND(AVERAGEIFS(问卷数据!$AR:$AR,问卷数据!$D:$D,$A$1,问卷数据!$AR:$AR,"&gt;0",问卷数据!$AR:$AR,"&lt;11"),2),"")</f>
        <v/>
      </c>
    </row>
    <row r="11" spans="1:3" ht="16">
      <c r="A11" s="1" t="s">
        <v>112</v>
      </c>
      <c r="B11" s="1" t="str">
        <f>IFERROR(ROUND(AVERAGEIFS(问卷数据!$AO:$AO,问卷数据!$D:$D,$A$1,问卷数据!$AO:$AO,"&gt;0",问卷数据!$AO:$AO,"&lt;11"),2),"")</f>
        <v/>
      </c>
      <c r="C11" s="6" t="str">
        <f>IFERROR(ROUND(AVERAGEIFS(问卷数据!$AP:$AP,问卷数据!$D:$D,$A$1,问卷数据!$AP:$AP,"&gt;0",问卷数据!$AP:$AP,"&lt;11"),2),"")</f>
        <v/>
      </c>
    </row>
    <row r="12" spans="1:3" ht="16">
      <c r="A12" s="1" t="s">
        <v>113</v>
      </c>
      <c r="B12" s="1" t="str">
        <f>IFERROR(ROUND(AVERAGEIFS(问卷数据!$AS:$AS,问卷数据!$D:$D,$A$1,问卷数据!$AS:$AS,"&gt;0",问卷数据!$AS:$AS,"&lt;11"),2),"")</f>
        <v/>
      </c>
      <c r="C12" s="6" t="str">
        <f>IFERROR(ROUND(AVERAGEIFS(问卷数据!$AT:$AT,问卷数据!$D:$D,$A$1,问卷数据!$AT:$AT,"&gt;0",问卷数据!$AT:$AT,"&lt;11"),2),"")</f>
        <v/>
      </c>
    </row>
    <row r="13" spans="1:3" ht="16">
      <c r="A13" s="1" t="s">
        <v>114</v>
      </c>
      <c r="B13" s="1" t="str">
        <f>IFERROR(ROUND(AVERAGEIFS(问卷数据!W:W,问卷数据!$D:$D,$A$1,问卷数据!W:W,"&gt;0",问卷数据!W:W,"&lt;11"),2),"")</f>
        <v/>
      </c>
      <c r="C13" s="6" t="str">
        <f>IFERROR(ROUND(AVERAGEIFS(问卷数据!X:X,问卷数据!$D:$D,$A$1,问卷数据!X:X,"&gt;0",问卷数据!X:X,"&lt;11"),2),"")</f>
        <v/>
      </c>
    </row>
    <row r="14" spans="1:3" ht="16">
      <c r="A14" s="1" t="s">
        <v>100</v>
      </c>
      <c r="B14" s="1" t="str">
        <f>IFERROR(ROUND(AVERAGEIFS(问卷数据!$AK:$AK,问卷数据!D:D,$A$1,问卷数据!$AK:$AK,"&gt;0",问卷数据!$AK:$AK,"&lt;11"),2),"")</f>
        <v/>
      </c>
      <c r="C14" s="6" t="str">
        <f>IFERROR(ROUND(AVERAGEIFS(问卷数据!$AL:$AL,问卷数据!$D:$D,$A$1,问卷数据!$AL:$AL,"&gt;0",问卷数据!$AL:$AL,"&lt;11"),2),"")</f>
        <v/>
      </c>
    </row>
    <row r="15" spans="1:3">
      <c r="A15" s="3" t="s">
        <v>89</v>
      </c>
      <c r="B15" s="3" t="str">
        <f>IFERROR(ROUND(AVERAGE(B16:B19),2),"")</f>
        <v/>
      </c>
      <c r="C15" s="3" t="str">
        <f>IFERROR(ROUND(AVERAGE(C16:C19),2),"")</f>
        <v/>
      </c>
    </row>
    <row r="16" spans="1:3">
      <c r="A16" s="1" t="s">
        <v>90</v>
      </c>
      <c r="B16" s="1" t="str">
        <f>IFERROR(ROUND(AVERAGEIFS(问卷数据!$I:$I,问卷数据!$D:$D,$A$1,问卷数据!$I:$I,"&gt;0",问卷数据!$I:$I,"&lt;11"),2),"")</f>
        <v/>
      </c>
      <c r="C16" s="1" t="str">
        <f>IFERROR(ROUND(AVERAGEIFS(问卷数据!$J:$J,问卷数据!$D:$D,$A$1,问卷数据!$J:$J,"&gt;0",问卷数据!$J:$J,"&lt;11"),2),"")</f>
        <v/>
      </c>
    </row>
    <row r="17" spans="1:3">
      <c r="A17" s="1" t="s">
        <v>91</v>
      </c>
      <c r="B17" s="1" t="str">
        <f>IFERROR(ROUND(AVERAGEIFS(问卷数据!$G:$G,问卷数据!$D:$D,$A$1,问卷数据!$G:$G,"&gt;0",问卷数据!$G:$G,"&lt;11"),2),"")</f>
        <v/>
      </c>
      <c r="C17" s="1" t="str">
        <f>IFERROR(ROUND(AVERAGEIFS(问卷数据!$H:$H,问卷数据!$D:$D,$A$1,问卷数据!$H:$H,"&gt;0",问卷数据!$H:$H,"&lt;11"),2),"")</f>
        <v/>
      </c>
    </row>
    <row r="18" spans="1:3">
      <c r="A18" s="1" t="s">
        <v>92</v>
      </c>
      <c r="B18" s="1" t="str">
        <f>IFERROR(ROUND(AVERAGEIFS(问卷数据!$K:$K,问卷数据!$D:$D,$A$1,问卷数据!$K:$K,"&gt;0",问卷数据!$K:$K,"&lt;11"),2),"")</f>
        <v/>
      </c>
      <c r="C18" s="1" t="str">
        <f>IFERROR(ROUND(AVERAGEIFS(问卷数据!$L:$L,问卷数据!$D:$D,$A$1,问卷数据!$L:$L,"&gt;0",问卷数据!$L:$L,"&lt;11"),2),"")</f>
        <v/>
      </c>
    </row>
    <row r="19" spans="1:3">
      <c r="A19" s="1" t="s">
        <v>109</v>
      </c>
      <c r="B19" s="1" t="str">
        <f>IFERROR(ROUND(AVERAGEIFS(问卷数据!$Q:$Q,问卷数据!$D:$D,$A$1,问卷数据!$Q:$Q,"&gt;0",问卷数据!$Q:$Q,"&lt;11"),2),"")</f>
        <v/>
      </c>
      <c r="C19" s="1" t="str">
        <f>IFERROR(ROUND(AVERAGEIFS(问卷数据!$R:$R,问卷数据!$D:$D,$A$1,问卷数据!$R:$R,"&gt;0",问卷数据!$R:$R,"&lt;11"),2),"")</f>
        <v/>
      </c>
    </row>
    <row r="20" spans="1:3">
      <c r="A20" s="3" t="s">
        <v>93</v>
      </c>
      <c r="B20" s="3" t="str">
        <f>IFERROR(ROUND(AVERAGE(B21:B24),2),"")</f>
        <v/>
      </c>
      <c r="C20" s="3" t="str">
        <f>IFERROR(ROUND(AVERAGE(C21:C24),2),"")</f>
        <v/>
      </c>
    </row>
    <row r="21" spans="1:3">
      <c r="A21" s="1" t="s">
        <v>94</v>
      </c>
      <c r="B21" s="1" t="str">
        <f>IFERROR(ROUND(AVERAGEIFS(问卷数据!$AV:$AV,问卷数据!$D:$D,$A$1,问卷数据!$AV:$AV,"&gt;0",问卷数据!$AV:$AV,"&lt;11"),2),"")</f>
        <v/>
      </c>
      <c r="C21" s="1" t="str">
        <f>IFERROR(ROUND(AVERAGEIFS(问卷数据!$AW:$AW,问卷数据!$D:$D,$A$1,问卷数据!$AW:$AW,"&gt;0",问卷数据!$AW:$AW,"&lt;11"),2),"")</f>
        <v/>
      </c>
    </row>
    <row r="22" spans="1:3">
      <c r="A22" s="1" t="s">
        <v>95</v>
      </c>
      <c r="B22" s="1" t="str">
        <f>IFERROR(ROUND(AVERAGEIFS(问卷数据!$BB:$BB,问卷数据!$D:$D,$A$1,问卷数据!$BB:$BB,"&gt;0",问卷数据!$BB:$BB,"&lt;11"),2),"")</f>
        <v/>
      </c>
      <c r="C22" s="1" t="str">
        <f>IFERROR(ROUND(AVERAGEIFS(问卷数据!$BC:$BC,问卷数据!$D:$D,$A$1,问卷数据!$BC:$BC,"&gt;0",问卷数据!$BC:$BC,"&lt;11"),2),"")</f>
        <v/>
      </c>
    </row>
    <row r="23" spans="1:3">
      <c r="A23" s="1" t="s">
        <v>96</v>
      </c>
      <c r="B23" s="1" t="str">
        <f>IFERROR(ROUND(AVERAGEIFS(问卷数据!$AY:$AY,问卷数据!$D:$D,$A$1,问卷数据!$AY:$AY,"&gt;0",问卷数据!$AY:$AY,"&lt;11"),2),"")</f>
        <v/>
      </c>
      <c r="C23" s="1" t="str">
        <f>IFERROR(ROUND(AVERAGEIFS(问卷数据!$AZ:$AZ,问卷数据!$D:$D,$A$1,问卷数据!$AZ:$AZ,"&gt;0",问卷数据!$AZ:$AZ,"&lt;11"),2),"")</f>
        <v/>
      </c>
    </row>
    <row r="24" spans="1:3">
      <c r="A24" s="1" t="s">
        <v>97</v>
      </c>
      <c r="B24" s="1" t="str">
        <f>IFERROR(ROUND(AVERAGEIFS(问卷数据!$BE:$BE,问卷数据!$D:$D,$A$1,问卷数据!$BE:$BE,"&gt;0",问卷数据!$BE:$BE,"&lt;11"),2),"")</f>
        <v/>
      </c>
      <c r="C24" s="1" t="str">
        <f>IFERROR(ROUND(AVERAGEIFS(问卷数据!$BF:$BF,问卷数据!$D:$D,$A$1,问卷数据!$BF:$BF,"&gt;0",问卷数据!$BF:$BF,"&lt;11"),2),"")</f>
        <v/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4"/>
  </sheetPr>
  <dimension ref="A1:C20"/>
  <sheetViews>
    <sheetView workbookViewId="0">
      <selection activeCell="L44" sqref="L44"/>
    </sheetView>
  </sheetViews>
  <sheetFormatPr baseColWidth="10" defaultColWidth="8.83203125" defaultRowHeight="14"/>
  <cols>
    <col min="1" max="1" width="21.83203125" customWidth="1"/>
    <col min="2" max="3" width="9.6640625"/>
  </cols>
  <sheetData>
    <row r="1" spans="1:3">
      <c r="A1" s="2" t="s">
        <v>115</v>
      </c>
      <c r="B1" s="2" t="str">
        <f>IFERROR(ROUND(AVERAGE(B3,B12,B16),2),"")</f>
        <v/>
      </c>
      <c r="C1" s="2" t="str">
        <f>IFERROR(ROUND(AVERAGE(C3,C12,C16),2),"")</f>
        <v/>
      </c>
    </row>
    <row r="2" spans="1:3">
      <c r="A2" s="1" t="s">
        <v>78</v>
      </c>
      <c r="B2" s="1" t="s">
        <v>79</v>
      </c>
      <c r="C2" t="s">
        <v>80</v>
      </c>
    </row>
    <row r="3" spans="1:3">
      <c r="A3" s="3" t="s">
        <v>81</v>
      </c>
      <c r="B3" s="3" t="str">
        <f>IFERROR(ROUND(AVERAGE(B4:B11),2),"")</f>
        <v/>
      </c>
      <c r="C3" s="3" t="str">
        <f>IFERROR(ROUND(AVERAGE(C4:C11),2),"")</f>
        <v/>
      </c>
    </row>
    <row r="4" spans="1:3">
      <c r="A4" s="1" t="s">
        <v>105</v>
      </c>
      <c r="B4" s="1" t="str">
        <f>IFERROR(ROUND(AVERAGEIFS(问卷数据!AG:AG,问卷数据!$D:$D,$A$1,问卷数据!AG:AG,"&gt;0",问卷数据!AG:AG,"&lt;11"),2),"")</f>
        <v/>
      </c>
      <c r="C4" s="1" t="str">
        <f>IFERROR(ROUND(AVERAGEIFS(问卷数据!AH:AH,问卷数据!$D:$D,$A$1,问卷数据!AH:AH,"&gt;0",问卷数据!AH:AH,"&lt;11"),2),"")</f>
        <v/>
      </c>
    </row>
    <row r="5" spans="1:3">
      <c r="A5" s="1" t="s">
        <v>106</v>
      </c>
      <c r="B5" s="1" t="str">
        <f>IFERROR(ROUND(AVERAGEIFS(问卷数据!$AC:$AC,问卷数据!$D:$D,$A$1,问卷数据!$AC:$AC,"&gt;0",问卷数据!$AC:$AC,"&lt;11"),2),"")</f>
        <v/>
      </c>
      <c r="C5" s="1" t="str">
        <f>IFERROR(ROUND(AVERAGEIFS(问卷数据!$AD:$AD,问卷数据!$D:$D,$A$1,问卷数据!$AD:$AD,"&gt;0",问卷数据!$AD:$AD,"&lt;11"),2),"")</f>
        <v/>
      </c>
    </row>
    <row r="6" spans="1:3">
      <c r="A6" s="1" t="s">
        <v>83</v>
      </c>
      <c r="B6" s="1" t="str">
        <f>IFERROR(ROUND(AVERAGEIFS(问卷数据!$AA:$AA,问卷数据!$D:$D,$A$1,问卷数据!$AA:$AA,"&gt;0",问卷数据!$AA:$AA,"&lt;11"),2),"")</f>
        <v/>
      </c>
      <c r="C6" s="1" t="str">
        <f>IFERROR(ROUND(AVERAGEIFS(问卷数据!$AB:$AB,问卷数据!$D:$D,$A$1,问卷数据!$AB:$AB,"&gt;0",问卷数据!$AB:$AB,"&lt;11"),2),"")</f>
        <v/>
      </c>
    </row>
    <row r="7" spans="1:3">
      <c r="A7" s="1" t="s">
        <v>84</v>
      </c>
      <c r="B7" s="1" t="str">
        <f>IFERROR(ROUND(AVERAGEIFS(问卷数据!$U:$U,问卷数据!$D:$D,$A$1,问卷数据!$U:$U,"&gt;0",问卷数据!$U:$U,"&lt;11"),2),"")</f>
        <v/>
      </c>
      <c r="C7" s="1" t="str">
        <f>IFERROR(ROUND(AVERAGEIFS(问卷数据!$V:$V,问卷数据!$D:$D,$A$1,问卷数据!$V:$V,"&gt;0",问卷数据!$V:$V,"&lt;11"),2),"")</f>
        <v/>
      </c>
    </row>
    <row r="8" spans="1:3">
      <c r="A8" s="1" t="s">
        <v>108</v>
      </c>
      <c r="B8" s="1" t="str">
        <f>IFERROR(ROUND(AVERAGEIFS(问卷数据!$S:$S,问卷数据!$D:$D,$A$1,问卷数据!$S:$S,"&gt;0",问卷数据!$S:$S,"&lt;11"),2),"")</f>
        <v/>
      </c>
      <c r="C8" s="1" t="str">
        <f>IFERROR(ROUND(AVERAGEIFS(问卷数据!$T:$T,问卷数据!$D:$D,$A$1,问卷数据!$T:$T,"&gt;0",问卷数据!$T:$T,"&lt;11"),2),"")</f>
        <v/>
      </c>
    </row>
    <row r="9" spans="1:3">
      <c r="A9" s="1" t="s">
        <v>86</v>
      </c>
      <c r="B9" s="1" t="str">
        <f>IFERROR(ROUND(AVERAGEIFS(问卷数据!$AM:$AM,问卷数据!$D:$D,$A$1,问卷数据!$AM:$AM,"&gt;0",问卷数据!$AM:$AM,"&lt;11"),2),"")</f>
        <v/>
      </c>
      <c r="C9" s="1" t="str">
        <f>IFERROR(ROUND(AVERAGEIFS(问卷数据!$AN:$AN,问卷数据!$D:$D,$A$1,问卷数据!$AN:$AN,"&gt;0",问卷数据!$AN:$AN,"&lt;11"),2),"")</f>
        <v/>
      </c>
    </row>
    <row r="10" spans="1:3">
      <c r="A10" s="1" t="s">
        <v>87</v>
      </c>
      <c r="B10" s="1" t="str">
        <f>IFERROR(ROUND(AVERAGEIFS(问卷数据!$M:$M,问卷数据!$D:$D,$A$1,问卷数据!$M:$M,"&gt;0",问卷数据!$M:$M,"&lt;11"),2),"")</f>
        <v/>
      </c>
      <c r="C10" s="1" t="str">
        <f>IFERROR(ROUND(AVERAGEIFS(问卷数据!$N:$N,问卷数据!$D:$D,$A$1,问卷数据!$N:$N,"&gt;0",问卷数据!$N:$N,"&lt;11"),2),"")</f>
        <v/>
      </c>
    </row>
    <row r="11" spans="1:3">
      <c r="A11" s="1" t="s">
        <v>88</v>
      </c>
      <c r="B11" s="1" t="str">
        <f>IFERROR(ROUND(AVERAGEIFS(问卷数据!$O:$O,问卷数据!$D:$D,$A$1,问卷数据!$O:$O,"&gt;0",问卷数据!$O:$O,"&lt;11"),2),"")</f>
        <v/>
      </c>
      <c r="C11" s="1" t="str">
        <f>IFERROR(ROUND(AVERAGEIFS(问卷数据!$P:$P,问卷数据!$D:$D,$A$1,问卷数据!$P:$P,"&gt;0",问卷数据!$P:$P,"&lt;11"),2),"")</f>
        <v/>
      </c>
    </row>
    <row r="12" spans="1:3">
      <c r="A12" s="3" t="s">
        <v>89</v>
      </c>
      <c r="B12" s="3" t="str">
        <f>IFERROR(ROUND(AVERAGE(B13:B15),2),"")</f>
        <v/>
      </c>
      <c r="C12" s="3" t="str">
        <f>IFERROR(ROUND(AVERAGE(C13:C15),2),"")</f>
        <v/>
      </c>
    </row>
    <row r="13" spans="1:3">
      <c r="A13" s="1" t="s">
        <v>90</v>
      </c>
      <c r="B13" s="1" t="str">
        <f>IFERROR(ROUND(AVERAGEIFS(问卷数据!$I:$I,问卷数据!$D:$D,$A$1,问卷数据!$I:$I,"&gt;0",问卷数据!$I:$I,"&lt;11"),2),"")</f>
        <v/>
      </c>
      <c r="C13" s="1" t="str">
        <f>IFERROR(ROUND(AVERAGEIFS(问卷数据!$J:$J,问卷数据!$D:$D,$A$1,问卷数据!$J:$J,"&gt;0",问卷数据!$J:$J,"&lt;11"),2),"")</f>
        <v/>
      </c>
    </row>
    <row r="14" spans="1:3">
      <c r="A14" s="1" t="s">
        <v>91</v>
      </c>
      <c r="B14" s="1" t="str">
        <f>IFERROR(ROUND(AVERAGEIFS(问卷数据!$G:$G,问卷数据!$D:$D,$A$1,问卷数据!$G:$G,"&gt;0",问卷数据!$G:$G,"&lt;11"),2),"")</f>
        <v/>
      </c>
      <c r="C14" s="1" t="str">
        <f>IFERROR(ROUND(AVERAGEIFS(问卷数据!$H:$H,问卷数据!$D:$D,$A$1,问卷数据!$H:$H,"&gt;0",问卷数据!$H:$H,"&lt;11"),2),"")</f>
        <v/>
      </c>
    </row>
    <row r="15" spans="1:3">
      <c r="A15" s="1" t="s">
        <v>92</v>
      </c>
      <c r="B15" s="1" t="str">
        <f>IFERROR(ROUND(AVERAGEIFS(问卷数据!$K:$K,问卷数据!$D:$D,$A$1,问卷数据!$K:$K,"&gt;0",问卷数据!$K:$K,"&lt;11"),2),"")</f>
        <v/>
      </c>
      <c r="C15" s="1" t="str">
        <f>IFERROR(ROUND(AVERAGEIFS(问卷数据!$L:$L,问卷数据!$D:$D,$A$1,问卷数据!$L:$L,"&gt;0",问卷数据!$L:$L,"&lt;11"),2),"")</f>
        <v/>
      </c>
    </row>
    <row r="16" spans="1:3">
      <c r="A16" s="3" t="s">
        <v>93</v>
      </c>
      <c r="B16" s="3" t="str">
        <f>IFERROR(ROUND(AVERAGE(B17:B20),2),"")</f>
        <v/>
      </c>
      <c r="C16" s="3" t="str">
        <f>IFERROR(ROUND(AVERAGE(C17:C20),2),"")</f>
        <v/>
      </c>
    </row>
    <row r="17" spans="1:3">
      <c r="A17" s="1" t="s">
        <v>94</v>
      </c>
      <c r="B17" s="1" t="str">
        <f>IFERROR(ROUND(AVERAGEIFS(问卷数据!$AV:$AV,问卷数据!$D:$D,$A$1,问卷数据!$AV:$AV,"&gt;0",问卷数据!$AV:$AV,"&lt;11"),2),"")</f>
        <v/>
      </c>
      <c r="C17" s="1" t="str">
        <f>IFERROR(ROUND(AVERAGEIFS(问卷数据!$AW:$AW,问卷数据!$D:$D,$A$1,问卷数据!$AW:$AW,"&gt;0",问卷数据!$AW:$AW,"&lt;11"),2),"")</f>
        <v/>
      </c>
    </row>
    <row r="18" spans="1:3">
      <c r="A18" s="1" t="s">
        <v>96</v>
      </c>
      <c r="B18" s="1" t="str">
        <f>IFERROR(ROUND(AVERAGEIFS(问卷数据!$AY:$AY,问卷数据!$D:$D,$A$1,问卷数据!$AY:$AY,"&gt;0",问卷数据!$AY:$AY,"&lt;11"),2),"")</f>
        <v/>
      </c>
      <c r="C18" s="1" t="str">
        <f>IFERROR(ROUND(AVERAGEIFS(问卷数据!$AZ:$AZ,问卷数据!$D:$D,$A$1,问卷数据!$AZ:$AZ,"&gt;0",问卷数据!$AZ:$AZ,"&lt;11"),2),"")</f>
        <v/>
      </c>
    </row>
    <row r="19" spans="1:3">
      <c r="A19" s="1" t="s">
        <v>95</v>
      </c>
      <c r="B19" s="1" t="str">
        <f>IFERROR(ROUND(AVERAGEIFS(问卷数据!$BB:$BB,问卷数据!$D:$D,$A$1,问卷数据!$BB:$BB,"&gt;0",问卷数据!$BB:$BB,"&lt;11"),2),"")</f>
        <v/>
      </c>
      <c r="C19" s="1" t="str">
        <f>IFERROR(ROUND(AVERAGEIFS(问卷数据!$BC:$BC,问卷数据!$D:$D,$A$1,问卷数据!$BC:$BC,"&gt;0",问卷数据!$BC:$BC,"&lt;11"),2),"")</f>
        <v/>
      </c>
    </row>
    <row r="20" spans="1:3">
      <c r="A20" s="1" t="s">
        <v>97</v>
      </c>
      <c r="B20" s="1" t="str">
        <f>IFERROR(ROUND(AVERAGEIFS(问卷数据!$BE:$BE,问卷数据!$D:$D,$A$1,问卷数据!$BE:$BE,"&gt;0",问卷数据!$BE:$BE,"&lt;11"),2),"")</f>
        <v/>
      </c>
      <c r="C20" s="1" t="str">
        <f>IFERROR(ROUND(AVERAGEIFS(问卷数据!$BF:$BF,问卷数据!$D:$D,$A$1,问卷数据!$BF:$BF,"&gt;0",问卷数据!$BF:$BF,"&lt;11"),2),"")</f>
        <v/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22"/>
  <sheetViews>
    <sheetView workbookViewId="0">
      <selection activeCell="B2" sqref="B2:C2"/>
    </sheetView>
  </sheetViews>
  <sheetFormatPr baseColWidth="10" defaultColWidth="8.83203125" defaultRowHeight="14"/>
  <cols>
    <col min="1" max="1" width="22.83203125" customWidth="1"/>
    <col min="2" max="3" width="9.6640625" style="1"/>
  </cols>
  <sheetData>
    <row r="1" spans="1:3">
      <c r="A1" s="2" t="s">
        <v>116</v>
      </c>
      <c r="B1" s="2" t="str">
        <f>IFERROR(ROUND(AVERAGE(B3,B13,B18),2),"")</f>
        <v/>
      </c>
      <c r="C1" s="2" t="str">
        <f>IFERROR(ROUND(AVERAGE(C3,C13,C18),2),"")</f>
        <v/>
      </c>
    </row>
    <row r="2" spans="1:3">
      <c r="A2" s="1" t="s">
        <v>78</v>
      </c>
      <c r="B2" s="1" t="s">
        <v>79</v>
      </c>
      <c r="C2" t="s">
        <v>80</v>
      </c>
    </row>
    <row r="3" spans="1:3">
      <c r="A3" s="3" t="s">
        <v>81</v>
      </c>
      <c r="B3" s="3" t="str">
        <f>IFERROR(ROUND(AVERAGE(B4:B12),2),"")</f>
        <v/>
      </c>
      <c r="C3" s="3" t="str">
        <f>IFERROR(ROUND(AVERAGE(C4:C12),2),"")</f>
        <v/>
      </c>
    </row>
    <row r="4" spans="1:3">
      <c r="A4" s="1" t="s">
        <v>100</v>
      </c>
      <c r="B4" s="1" t="str">
        <f>IFERROR(ROUND(AVERAGEIFS(问卷数据!$AK:$AK,问卷数据!D:D,A1,问卷数据!$AK:$AK,"&gt;0",问卷数据!$AK:$AK,"&lt;11"),2),"")</f>
        <v/>
      </c>
      <c r="C4" s="1" t="str">
        <f>IFERROR(ROUND(AVERAGEIFS(问卷数据!$AL:$AL,问卷数据!$D:$D,$A1,问卷数据!$AL:$AL,"&gt;0",问卷数据!$AL:$AL,"&lt;11"),2),"")</f>
        <v/>
      </c>
    </row>
    <row r="5" spans="1:3">
      <c r="A5" s="1" t="s">
        <v>105</v>
      </c>
      <c r="B5" s="1" t="str">
        <f>IFERROR(ROUND(AVERAGEIFS(问卷数据!AG:AG,问卷数据!$D:$D,$A$1,问卷数据!AG:AG,"&gt;0",问卷数据!AG:AG,"&lt;11"),2),"")</f>
        <v/>
      </c>
      <c r="C5" s="1" t="str">
        <f>IFERROR(ROUND(AVERAGEIFS(问卷数据!AH:AH,问卷数据!$D:$D,$A$1,问卷数据!AH:AH,"&gt;0",问卷数据!AH:AH,"&lt;11"),2),"")</f>
        <v/>
      </c>
    </row>
    <row r="6" spans="1:3">
      <c r="A6" s="1" t="s">
        <v>106</v>
      </c>
      <c r="B6" s="1" t="str">
        <f>IFERROR(ROUND(AVERAGEIFS(问卷数据!$AC:$AC,问卷数据!$D:$D,$A$1,问卷数据!$AC:$AC,"&gt;0",问卷数据!$AC:$AC,"&lt;11"),2),"")</f>
        <v/>
      </c>
      <c r="C6" s="1" t="str">
        <f>IFERROR(ROUND(AVERAGEIFS(问卷数据!$AD:$AD,问卷数据!$D:$D,$A$1,问卷数据!$AD:$AD,"&gt;0",问卷数据!$AD:$AD,"&lt;11"),2),"")</f>
        <v/>
      </c>
    </row>
    <row r="7" spans="1:3">
      <c r="A7" s="1" t="s">
        <v>107</v>
      </c>
      <c r="B7" s="1" t="str">
        <f>IFERROR(ROUND(AVERAGEIFS(问卷数据!$AA:$AA,问卷数据!$D:$D,$A$1,问卷数据!$AA:$AA,"&gt;0",问卷数据!$AA:$AA,"&lt;11"),2),"")</f>
        <v/>
      </c>
      <c r="C7" s="1" t="str">
        <f>IFERROR(ROUND(AVERAGEIFS(问卷数据!$AB:$AB,问卷数据!$D:$D,$A$1,问卷数据!$AB:$AB,"&gt;0",问卷数据!$AB:$AB,"&lt;11"),2),"")</f>
        <v/>
      </c>
    </row>
    <row r="8" spans="1:3">
      <c r="A8" s="1" t="s">
        <v>84</v>
      </c>
      <c r="B8" s="1" t="str">
        <f>IFERROR(ROUND(AVERAGEIFS(问卷数据!$U:$U,问卷数据!$D:$D,$A$1,问卷数据!$U:$U,"&gt;0",问卷数据!$U:$U,"&lt;11"),2),"")</f>
        <v/>
      </c>
      <c r="C8" s="1" t="str">
        <f>IFERROR(ROUND(AVERAGEIFS(问卷数据!$V:$V,问卷数据!$D:$D,$A$1,问卷数据!$V:$V,"&gt;0",问卷数据!$V:$V,"&lt;11"),2),"")</f>
        <v/>
      </c>
    </row>
    <row r="9" spans="1:3">
      <c r="A9" s="1" t="s">
        <v>108</v>
      </c>
      <c r="B9" s="1" t="str">
        <f>IFERROR(ROUND(AVERAGEIFS(问卷数据!$S:$S,问卷数据!$D:$D,$A$1,问卷数据!$S:$S,"&gt;0",问卷数据!$S:$S,"&lt;11"),2),"")</f>
        <v/>
      </c>
      <c r="C9" s="1" t="str">
        <f>IFERROR(ROUND(AVERAGEIFS(问卷数据!$T:$T,问卷数据!$D:$D,$A$1,问卷数据!$T:$T,"&gt;0",问卷数据!$T:$T,"&lt;11"),2),"")</f>
        <v/>
      </c>
    </row>
    <row r="10" spans="1:3">
      <c r="A10" s="1" t="s">
        <v>87</v>
      </c>
      <c r="B10" s="1" t="str">
        <f>IFERROR(ROUND(AVERAGEIFS(问卷数据!$M:$M,问卷数据!$D:$D,$A$1,问卷数据!$M:$M,"&gt;0",问卷数据!$M:$M,"&lt;11"),2),"")</f>
        <v/>
      </c>
      <c r="C10" s="1" t="str">
        <f>IFERROR(ROUND(AVERAGEIFS(问卷数据!$N:$N,问卷数据!$D:$D,$A$1,问卷数据!$N:$N,"&gt;0",问卷数据!$N:$N,"&lt;11"),2),"")</f>
        <v/>
      </c>
    </row>
    <row r="11" spans="1:3">
      <c r="A11" s="1" t="s">
        <v>88</v>
      </c>
      <c r="B11" s="1" t="str">
        <f>IFERROR(ROUND(AVERAGEIFS(问卷数据!$O:$O,问卷数据!$D:$D,$A$1,问卷数据!$O:$O,"&gt;0",问卷数据!$O:$O,"&lt;11"),2),"")</f>
        <v/>
      </c>
      <c r="C11" s="1" t="str">
        <f>IFERROR(ROUND(AVERAGEIFS(问卷数据!$P:$P,问卷数据!$D:$D,$A$1,问卷数据!$P:$P,"&gt;0",问卷数据!$P:$P,"&lt;11"),2),"")</f>
        <v/>
      </c>
    </row>
    <row r="12" spans="1:3">
      <c r="A12" s="1" t="s">
        <v>86</v>
      </c>
      <c r="B12" s="1" t="str">
        <f>IFERROR(ROUND(AVERAGEIFS(问卷数据!$AM:$AM,问卷数据!$D:$D,$A$1,问卷数据!$AM:$AM,"&gt;0",问卷数据!$AM:$AM,"&lt;11"),2),"")</f>
        <v/>
      </c>
      <c r="C12" s="1" t="str">
        <f>IFERROR(ROUND(AVERAGEIFS(问卷数据!$AN:$AN,问卷数据!$D:$D,$A$1,问卷数据!$AN:$AN,"&gt;0",问卷数据!$AN:$AN,"&lt;11"),2),"")</f>
        <v/>
      </c>
    </row>
    <row r="13" spans="1:3">
      <c r="A13" s="3" t="s">
        <v>89</v>
      </c>
      <c r="B13" s="3" t="str">
        <f>IFERROR(ROUND(AVERAGE(B14:B17),2),"")</f>
        <v/>
      </c>
      <c r="C13" s="3" t="str">
        <f>IFERROR(ROUND(AVERAGE(C14:C17),2),"")</f>
        <v/>
      </c>
    </row>
    <row r="14" spans="1:3">
      <c r="A14" s="1" t="s">
        <v>92</v>
      </c>
      <c r="B14" s="1" t="str">
        <f>IFERROR(ROUND(AVERAGEIFS(问卷数据!$K:$K,问卷数据!$D:$D,$A$1,问卷数据!$K:$K,"&gt;0",问卷数据!$K:$K,"&lt;11"),2),"")</f>
        <v/>
      </c>
      <c r="C14" s="1" t="str">
        <f>IFERROR(ROUND(AVERAGEIFS(问卷数据!$L:$L,问卷数据!$D:$D,$A$1,问卷数据!$L:$L,"&gt;0",问卷数据!$L:$L,"&lt;11"),2),"")</f>
        <v/>
      </c>
    </row>
    <row r="15" spans="1:3">
      <c r="A15" s="1" t="s">
        <v>109</v>
      </c>
      <c r="B15" s="1" t="str">
        <f>IFERROR(ROUND(AVERAGEIFS(问卷数据!$Q:$Q,问卷数据!$D:$D,$A$1,问卷数据!$Q:$Q,"&gt;0",问卷数据!$Q:$Q,"&lt;11"),2),"")</f>
        <v/>
      </c>
      <c r="C15" s="1" t="str">
        <f>IFERROR(ROUND(AVERAGEIFS(问卷数据!$R:$R,问卷数据!$D:$D,$A$1,问卷数据!$R:$R,"&gt;0",问卷数据!$R:$R,"&lt;11"),2),"")</f>
        <v/>
      </c>
    </row>
    <row r="16" spans="1:3">
      <c r="A16" s="1" t="s">
        <v>90</v>
      </c>
      <c r="B16" s="1" t="str">
        <f>IFERROR(ROUND(AVERAGEIFS(问卷数据!$I:$I,问卷数据!$D:$D,$A$1,问卷数据!$I:$I,"&gt;0",问卷数据!$I:$I,"&lt;11"),2),"")</f>
        <v/>
      </c>
      <c r="C16" s="1" t="str">
        <f>IFERROR(ROUND(AVERAGEIFS(问卷数据!$J:$J,问卷数据!$D:$D,$A$1,问卷数据!$J:$J,"&gt;0",问卷数据!$J:$J,"&lt;11"),2),"")</f>
        <v/>
      </c>
    </row>
    <row r="17" spans="1:3">
      <c r="A17" s="1" t="s">
        <v>91</v>
      </c>
      <c r="B17" s="1" t="str">
        <f>IFERROR(ROUND(AVERAGEIFS(问卷数据!$G:$G,问卷数据!$D:$D,$A$1,问卷数据!$G:$G,"&gt;0",问卷数据!$G:$G,"&lt;11"),2),"")</f>
        <v/>
      </c>
      <c r="C17" s="1" t="str">
        <f>IFERROR(ROUND(AVERAGEIFS(问卷数据!$H:$H,问卷数据!$D:$D,$A$1,问卷数据!$H:$H,"&gt;0",问卷数据!$H:$H,"&lt;11"),2),"")</f>
        <v/>
      </c>
    </row>
    <row r="18" spans="1:3">
      <c r="A18" s="3" t="s">
        <v>93</v>
      </c>
      <c r="B18" s="3" t="str">
        <f>IFERROR(ROUND(AVERAGE(B19:B22),2),"")</f>
        <v/>
      </c>
      <c r="C18" s="3" t="str">
        <f>IFERROR(ROUND(AVERAGE(C19:C22),2),"")</f>
        <v/>
      </c>
    </row>
    <row r="19" spans="1:3">
      <c r="A19" s="1" t="s">
        <v>94</v>
      </c>
      <c r="B19" s="1" t="str">
        <f>IFERROR(ROUND(AVERAGEIFS(问卷数据!$AV:$AV,问卷数据!$D:$D,$A$1,问卷数据!$AV:$AV,"&gt;0",问卷数据!$AV:$AV,"&lt;11"),2),"")</f>
        <v/>
      </c>
      <c r="C19" s="1" t="str">
        <f>IFERROR(ROUND(AVERAGEIFS(问卷数据!$AW:$AW,问卷数据!$D:$D,$A$1,问卷数据!$AW:$AW,"&gt;0",问卷数据!$AW:$AW,"&lt;11"),2),"")</f>
        <v/>
      </c>
    </row>
    <row r="20" spans="1:3">
      <c r="A20" s="1" t="s">
        <v>95</v>
      </c>
      <c r="B20" s="1" t="str">
        <f>IFERROR(ROUND(AVERAGEIFS(问卷数据!$BB:$BB,问卷数据!$D:$D,$A$1,问卷数据!$BB:$BB,"&gt;0",问卷数据!$BB:$BB,"&lt;11"),2),"")</f>
        <v/>
      </c>
      <c r="C20" s="1" t="str">
        <f>IFERROR(ROUND(AVERAGEIFS(问卷数据!$BC:$BC,问卷数据!$D:$D,$A$1,问卷数据!$BC:$BC,"&gt;0",问卷数据!$BC:$BC,"&lt;11"),2),"")</f>
        <v/>
      </c>
    </row>
    <row r="21" spans="1:3">
      <c r="A21" s="1" t="s">
        <v>96</v>
      </c>
      <c r="B21" s="1" t="str">
        <f>IFERROR(ROUND(AVERAGEIFS(问卷数据!$AY:$AY,问卷数据!$D:$D,$A$1,问卷数据!$AY:$AY,"&gt;0",问卷数据!$AY:$AY,"&lt;11"),2),"")</f>
        <v/>
      </c>
      <c r="C21" s="1" t="str">
        <f>IFERROR(ROUND(AVERAGEIFS(问卷数据!$AZ:$AZ,问卷数据!$D:$D,$A$1,问卷数据!$AZ:$AZ,"&gt;0",问卷数据!$AZ:$AZ,"&lt;11"),2),"")</f>
        <v/>
      </c>
    </row>
    <row r="22" spans="1:3">
      <c r="A22" s="1" t="s">
        <v>97</v>
      </c>
      <c r="B22" s="1" t="str">
        <f>IFERROR(ROUND(AVERAGEIFS(问卷数据!$BE:$BE,问卷数据!$D:$D,$A$1,问卷数据!$BE:$BE,"&gt;0",问卷数据!$BE:$BE,"&lt;11"),2),"")</f>
        <v/>
      </c>
      <c r="C22" s="1" t="str">
        <f>IFERROR(ROUND(AVERAGEIFS(问卷数据!$BF:$BF,问卷数据!$D:$D,$A$1,问卷数据!$BF:$BF,"&gt;0",问卷数据!$BF:$BF,"&lt;11"),2),"")</f>
        <v/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/>
  </sheetPr>
  <dimension ref="A5:C24"/>
  <sheetViews>
    <sheetView topLeftCell="A5" zoomScaleNormal="77" workbookViewId="0">
      <selection activeCell="M39" sqref="M39"/>
    </sheetView>
  </sheetViews>
  <sheetFormatPr baseColWidth="10" defaultColWidth="8.83203125" defaultRowHeight="14"/>
  <cols>
    <col min="1" max="1" width="16.5" customWidth="1"/>
    <col min="2" max="3" width="9.6640625" style="1"/>
    <col min="4" max="4" width="9.6640625"/>
    <col min="7" max="10" width="9.6640625"/>
  </cols>
  <sheetData>
    <row r="5" spans="1:3">
      <c r="A5" s="2" t="s">
        <v>117</v>
      </c>
      <c r="B5" s="2" t="str">
        <f>IFERROR(ROUND(AVERAGE(B7,B16,B20),2),"")</f>
        <v/>
      </c>
      <c r="C5" s="2" t="str">
        <f>IFERROR(ROUND(AVERAGE(C7,C16,C20),2),"")</f>
        <v/>
      </c>
    </row>
    <row r="6" spans="1:3">
      <c r="A6" s="1" t="s">
        <v>78</v>
      </c>
      <c r="B6" s="1" t="s">
        <v>79</v>
      </c>
      <c r="C6" t="s">
        <v>80</v>
      </c>
    </row>
    <row r="7" spans="1:3">
      <c r="A7" s="3" t="s">
        <v>81</v>
      </c>
      <c r="B7" s="3" t="str">
        <f>IFERROR(ROUND(AVERAGE(B8:B15),2),"")</f>
        <v/>
      </c>
      <c r="C7" s="3" t="str">
        <f>IFERROR(ROUND(AVERAGE(C8:C15),2),"")</f>
        <v/>
      </c>
    </row>
    <row r="8" spans="1:3">
      <c r="A8" s="1" t="s">
        <v>105</v>
      </c>
      <c r="B8" s="1" t="str">
        <f>IFERROR(ROUND(AVERAGEIFS(问卷数据!AG:AG,问卷数据!$D:$D,$A$5,问卷数据!AG:AG,"&gt;0",问卷数据!AG:AG,"&lt;11"),2),"")</f>
        <v/>
      </c>
      <c r="C8" s="1" t="str">
        <f>IFERROR(ROUND(AVERAGEIFS(问卷数据!AH:AH,问卷数据!$D:$D,$A$5,问卷数据!AH:AH,"&gt;0",问卷数据!AH:AH,"&lt;11"),2),"")</f>
        <v/>
      </c>
    </row>
    <row r="9" spans="1:3">
      <c r="A9" s="1" t="s">
        <v>106</v>
      </c>
      <c r="B9" s="1" t="str">
        <f>IFERROR(ROUND(AVERAGEIFS(问卷数据!$AC:$AC,问卷数据!$D:$D,$A$5,问卷数据!$AC:$AC,"&gt;0",问卷数据!$AC:$AC,"&lt;11"),2),"")</f>
        <v/>
      </c>
      <c r="C9" s="1" t="str">
        <f>IFERROR(ROUND(AVERAGEIFS(问卷数据!$AD:$AD,问卷数据!$D:$D,$A$5,问卷数据!$AD:$AD,"&gt;0",问卷数据!$AD:$AD,"&lt;11"),2),"")</f>
        <v/>
      </c>
    </row>
    <row r="10" spans="1:3">
      <c r="A10" s="1" t="s">
        <v>83</v>
      </c>
      <c r="B10" s="1" t="str">
        <f>IFERROR(ROUND(AVERAGEIFS(问卷数据!$AA:$AA,问卷数据!$D:$D,$A$5,问卷数据!$AA:$AA,"&gt;0",问卷数据!$AA:$AA,"&lt;11"),2),"")</f>
        <v/>
      </c>
      <c r="C10" s="1" t="str">
        <f>IFERROR(ROUND(AVERAGEIFS(问卷数据!$AB:$AB,问卷数据!$D:$D,$A$5,问卷数据!$AB:$AB,"&gt;0",问卷数据!$AB:$AB,"&lt;11"),2),"")</f>
        <v/>
      </c>
    </row>
    <row r="11" spans="1:3">
      <c r="A11" s="1" t="s">
        <v>84</v>
      </c>
      <c r="B11" s="1" t="str">
        <f>IFERROR(ROUND(AVERAGEIFS(问卷数据!$U:$U,问卷数据!$D:$D,$A$5,问卷数据!$U:$U,"&gt;0",问卷数据!$U:$U,"&lt;11"),2),"")</f>
        <v/>
      </c>
      <c r="C11" s="1" t="str">
        <f>IFERROR(ROUND(AVERAGEIFS(问卷数据!$V:$V,问卷数据!$D:$D,$A$5,问卷数据!$V:$V,"&gt;0",问卷数据!$V:$V,"&lt;11"),2),"")</f>
        <v/>
      </c>
    </row>
    <row r="12" spans="1:3">
      <c r="A12" s="1" t="s">
        <v>108</v>
      </c>
      <c r="B12" s="1" t="str">
        <f>IFERROR(ROUND(AVERAGEIFS(问卷数据!$S:$S,问卷数据!$D:$D,$A$5,问卷数据!$S:$S,"&gt;0",问卷数据!$S:$S,"&lt;11"),2),"")</f>
        <v/>
      </c>
      <c r="C12" s="1" t="str">
        <f>IFERROR(ROUND(AVERAGEIFS(问卷数据!$T:$T,问卷数据!$D:$D,$A$5,问卷数据!$T:$T,"&gt;0",问卷数据!$T:$T,"&lt;11"),2),"")</f>
        <v/>
      </c>
    </row>
    <row r="13" spans="1:3">
      <c r="A13" s="1" t="s">
        <v>86</v>
      </c>
      <c r="B13" s="1" t="str">
        <f>IFERROR(ROUND(AVERAGEIFS(问卷数据!$AM:$AM,问卷数据!$D:$D,$A$5,问卷数据!$AM:$AM,"&gt;0",问卷数据!$AM:$AM,"&lt;11"),2),"")</f>
        <v/>
      </c>
      <c r="C13" s="1" t="str">
        <f>IFERROR(ROUND(AVERAGEIFS(问卷数据!$AN:$AN,问卷数据!$D:$D,$A$5,问卷数据!$AN:$AN,"&gt;0",问卷数据!$AN:$AN,"&lt;11"),2),"")</f>
        <v/>
      </c>
    </row>
    <row r="14" spans="1:3">
      <c r="A14" s="1" t="s">
        <v>87</v>
      </c>
      <c r="B14" s="1" t="str">
        <f>IFERROR(ROUND(AVERAGEIFS(问卷数据!$M:$M,问卷数据!$D:$D,$A$5,问卷数据!$M:$M,"&gt;0",问卷数据!$M:$M,"&lt;11"),2),"")</f>
        <v/>
      </c>
      <c r="C14" s="1" t="str">
        <f>IFERROR(ROUND(AVERAGEIFS(问卷数据!$N:$N,问卷数据!$D:$D,$A$5,问卷数据!$N:$N,"&gt;0",问卷数据!$N:$N,"&lt;11"),2),"")</f>
        <v/>
      </c>
    </row>
    <row r="15" spans="1:3">
      <c r="A15" s="1" t="s">
        <v>88</v>
      </c>
      <c r="B15" s="1" t="str">
        <f>IFERROR(ROUND(AVERAGEIFS(问卷数据!$O:$O,问卷数据!$D:$D,$A$5,问卷数据!$O:$O,"&gt;0",问卷数据!$O:$O,"&lt;11"),2),"")</f>
        <v/>
      </c>
      <c r="C15" s="1" t="str">
        <f>IFERROR(ROUND(AVERAGEIFS(问卷数据!$P:$P,问卷数据!$D:$D,$A$5,问卷数据!$P:$P,"&gt;0",问卷数据!$P:$P,"&lt;11"),2),"")</f>
        <v/>
      </c>
    </row>
    <row r="16" spans="1:3">
      <c r="A16" s="3" t="s">
        <v>89</v>
      </c>
      <c r="B16" s="3" t="str">
        <f>IFERROR(ROUND(AVERAGE(B17:B19),2),"")</f>
        <v/>
      </c>
      <c r="C16" s="3" t="str">
        <f>IFERROR(ROUND(AVERAGE(C17:C19),2),"")</f>
        <v/>
      </c>
    </row>
    <row r="17" spans="1:3">
      <c r="A17" s="1" t="s">
        <v>90</v>
      </c>
      <c r="B17" s="1" t="str">
        <f>IFERROR(ROUND(AVERAGEIFS(问卷数据!$I:$I,问卷数据!$D:$D,$A$5,问卷数据!$I:$I,"&gt;0",问卷数据!$I:$I,"&lt;11"),2),"")</f>
        <v/>
      </c>
      <c r="C17" s="1" t="str">
        <f>IFERROR(ROUND(AVERAGEIFS(问卷数据!$J:$J,问卷数据!$D:$D,$A$5,问卷数据!$J:$J,"&gt;0",问卷数据!$J:$J,"&lt;11"),2),"")</f>
        <v/>
      </c>
    </row>
    <row r="18" spans="1:3">
      <c r="A18" s="1" t="s">
        <v>91</v>
      </c>
      <c r="B18" s="1" t="str">
        <f>IFERROR(ROUND(AVERAGEIFS(问卷数据!$G:$G,问卷数据!$D:$D,$A$5,问卷数据!$G:$G,"&gt;0",问卷数据!$G:$G,"&lt;11"),2),"")</f>
        <v/>
      </c>
      <c r="C18" s="1" t="str">
        <f>IFERROR(ROUND(AVERAGEIFS(问卷数据!$H:$H,问卷数据!$D:$D,$A$5,问卷数据!$H:$H,"&gt;0",问卷数据!$H:$H,"&lt;11"),2),"")</f>
        <v/>
      </c>
    </row>
    <row r="19" spans="1:3">
      <c r="A19" s="1" t="s">
        <v>92</v>
      </c>
      <c r="B19" s="1" t="str">
        <f>IFERROR(ROUND(AVERAGEIFS(问卷数据!$K:$K,问卷数据!$D:$D,$A$5,问卷数据!$K:$K,"&gt;0",问卷数据!$K:$K,"&lt;11"),2),"")</f>
        <v/>
      </c>
      <c r="C19" s="1" t="str">
        <f>IFERROR(ROUND(AVERAGEIFS(问卷数据!$L:$L,问卷数据!$D:$D,$A$5,问卷数据!$L:$L,"&gt;0",问卷数据!$L:$L,"&lt;11"),2),"")</f>
        <v/>
      </c>
    </row>
    <row r="20" spans="1:3">
      <c r="A20" s="3" t="s">
        <v>93</v>
      </c>
      <c r="B20" s="3" t="str">
        <f>IFERROR(ROUND(AVERAGE(B21:B24),2),"")</f>
        <v/>
      </c>
      <c r="C20" s="3" t="str">
        <f>IFERROR(ROUND(AVERAGE(C21:C24),2),"")</f>
        <v/>
      </c>
    </row>
    <row r="21" spans="1:3">
      <c r="A21" s="1" t="s">
        <v>94</v>
      </c>
      <c r="B21" s="1" t="str">
        <f>IFERROR(ROUND(AVERAGEIFS(问卷数据!$AV:$AV,问卷数据!$D:$D,$A$5,问卷数据!$AV:$AV,"&gt;0",问卷数据!$AV:$AV,"&lt;11"),2),"")</f>
        <v/>
      </c>
      <c r="C21" s="1" t="str">
        <f>IFERROR(ROUND(AVERAGEIFS(问卷数据!$AW:$AW,问卷数据!$D:$D,$A$5,问卷数据!$AW:$AW,"&gt;0",问卷数据!$AW:$AW,"&lt;11"),2),"")</f>
        <v/>
      </c>
    </row>
    <row r="22" spans="1:3">
      <c r="A22" s="1" t="s">
        <v>96</v>
      </c>
      <c r="B22" s="1" t="str">
        <f>IFERROR(ROUND(AVERAGEIFS(问卷数据!$AY:$AY,问卷数据!$D:$D,$A$5,问卷数据!$AY:$AY,"&gt;0",问卷数据!$AY:$AY,"&lt;11"),2),"")</f>
        <v/>
      </c>
      <c r="C22" s="1" t="str">
        <f>IFERROR(ROUND(AVERAGEIFS(问卷数据!$AZ:$AZ,问卷数据!$D:$D,$A$5,问卷数据!$AZ:$AZ,"&gt;0",问卷数据!$AZ:$AZ,"&lt;11"),2),"")</f>
        <v/>
      </c>
    </row>
    <row r="23" spans="1:3">
      <c r="A23" s="1" t="s">
        <v>95</v>
      </c>
      <c r="B23" s="1" t="str">
        <f>IFERROR(ROUND(AVERAGEIFS(问卷数据!$BB:$BB,问卷数据!$D:$D,$A$5,问卷数据!$BB:$BB,"&gt;0",问卷数据!$BB:$BB,"&lt;11"),2),"")</f>
        <v/>
      </c>
      <c r="C23" s="1" t="str">
        <f>IFERROR(ROUND(AVERAGEIFS(问卷数据!$BC:$BC,问卷数据!$D:$D,$A$5,问卷数据!$BC:$BC,"&gt;0",问卷数据!$BC:$BC,"&lt;11"),2),"")</f>
        <v/>
      </c>
    </row>
    <row r="24" spans="1:3">
      <c r="A24" s="1" t="s">
        <v>97</v>
      </c>
      <c r="B24" s="1" t="str">
        <f>IFERROR(ROUND(AVERAGEIFS(问卷数据!$BE:$BE,问卷数据!$D:$D,$A$5,问卷数据!$BE:$BE,"&gt;0",问卷数据!$BE:$BE,"&lt;11"),2),"")</f>
        <v/>
      </c>
      <c r="C24" s="1" t="str">
        <f>IFERROR(ROUND(AVERAGEIFS(问卷数据!$BF:$BF,问卷数据!$D:$D,$A$5,问卷数据!$BF:$BF,"&gt;0",问卷数据!$BF:$BF,"&lt;11"),2),"")</f>
        <v/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问卷数据</vt:lpstr>
      <vt:lpstr>特色美食廊</vt:lpstr>
      <vt:lpstr>商务简餐</vt:lpstr>
      <vt:lpstr>旅游团餐</vt:lpstr>
      <vt:lpstr>宴会</vt:lpstr>
      <vt:lpstr>婚宴</vt:lpstr>
      <vt:lpstr>自助餐</vt:lpstr>
      <vt:lpstr>酒店宴会</vt:lpstr>
      <vt:lpstr>酒店自助餐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张奇进</cp:lastModifiedBy>
  <dcterms:created xsi:type="dcterms:W3CDTF">2025-02-13T10:41:00Z</dcterms:created>
  <dcterms:modified xsi:type="dcterms:W3CDTF">2026-04-08T10:38:32Z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ABBDB3923AF94F856073A6694D50C391_43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