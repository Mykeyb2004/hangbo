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zhangqijin/PycharmProjects/hangbo/data/sample_summary/2026/Q1/"/>
    </mc:Choice>
  </mc:AlternateContent>
  <xr:revisionPtr revIDLastSave="0" documentId="13_ncr:1_{F600A358-D36F-454A-A99E-F1E614067497}" xr6:coauthVersionLast="47" xr6:coauthVersionMax="47" xr10:uidLastSave="{00000000-0000-0000-0000-000000000000}"/>
  <bookViews>
    <workbookView xWindow="0" yWindow="600" windowWidth="46080" windowHeight="23680" xr2:uid="{00000000-000D-0000-FFFF-FFFF00000000}"/>
  </bookViews>
  <sheets>
    <sheet name="样本统计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8" i="1" l="1"/>
  <c r="F28" i="1"/>
  <c r="C28" i="1"/>
  <c r="E27" i="1"/>
  <c r="D27" i="1"/>
  <c r="G26" i="1"/>
  <c r="F26" i="1"/>
  <c r="C26" i="1"/>
  <c r="E25" i="1"/>
  <c r="E26" i="1" s="1"/>
  <c r="D26" i="1" s="1"/>
  <c r="D25" i="1"/>
  <c r="E24" i="1"/>
  <c r="D24" i="1" s="1"/>
  <c r="E23" i="1"/>
  <c r="D23" i="1"/>
  <c r="E22" i="1"/>
  <c r="D22" i="1"/>
  <c r="E21" i="1"/>
  <c r="D21" i="1"/>
  <c r="E20" i="1"/>
  <c r="D20" i="1"/>
  <c r="G19" i="1"/>
  <c r="F19" i="1"/>
  <c r="E19" i="1"/>
  <c r="D19" i="1"/>
  <c r="C19" i="1"/>
  <c r="E18" i="1"/>
  <c r="D18" i="1"/>
  <c r="E17" i="1"/>
  <c r="D17" i="1"/>
  <c r="G16" i="1"/>
  <c r="F16" i="1"/>
  <c r="C16" i="1"/>
  <c r="E15" i="1"/>
  <c r="D15" i="1"/>
  <c r="E14" i="1"/>
  <c r="E16" i="1" s="1"/>
  <c r="D16" i="1" s="1"/>
  <c r="D14" i="1"/>
  <c r="E13" i="1"/>
  <c r="D13" i="1"/>
  <c r="E12" i="1"/>
  <c r="D12" i="1"/>
  <c r="E11" i="1"/>
  <c r="D11" i="1"/>
  <c r="G10" i="1"/>
  <c r="F10" i="1"/>
  <c r="C10" i="1"/>
  <c r="E9" i="1"/>
  <c r="D9" i="1"/>
  <c r="E8" i="1"/>
  <c r="D8" i="1" s="1"/>
  <c r="E7" i="1"/>
  <c r="D7" i="1"/>
  <c r="E6" i="1"/>
  <c r="D6" i="1"/>
  <c r="E5" i="1"/>
  <c r="D5" i="1"/>
  <c r="E4" i="1"/>
  <c r="D4" i="1"/>
  <c r="E3" i="1"/>
  <c r="E10" i="1" s="1"/>
  <c r="D10" i="1" s="1"/>
  <c r="D3" i="1"/>
  <c r="E28" i="1" l="1"/>
  <c r="D28" i="1" s="1"/>
</calcChain>
</file>

<file path=xl/sharedStrings.xml><?xml version="1.0" encoding="utf-8"?>
<sst xmlns="http://schemas.openxmlformats.org/spreadsheetml/2006/main" count="38" uniqueCount="35">
  <si>
    <t>杭博客户类型样本统计表</t>
  </si>
  <si>
    <t>客户大类</t>
  </si>
  <si>
    <t>样本类型</t>
  </si>
  <si>
    <t>样本量</t>
  </si>
  <si>
    <t>样本进度百分比</t>
  </si>
  <si>
    <t>总执行样本量</t>
  </si>
  <si>
    <t>1-2月</t>
  </si>
  <si>
    <t>3月</t>
  </si>
  <si>
    <t>一、会展客户</t>
  </si>
  <si>
    <t>展览活动主（承）办</t>
  </si>
  <si>
    <t>参展商</t>
  </si>
  <si>
    <t>专业观众</t>
  </si>
  <si>
    <t>会展服务商</t>
  </si>
  <si>
    <t>会议活动主（承）办</t>
  </si>
  <si>
    <t>参会客户</t>
  </si>
  <si>
    <t>会展流失主办客户</t>
  </si>
  <si>
    <t>小计</t>
  </si>
  <si>
    <t>二、餐饮客户</t>
  </si>
  <si>
    <t>商务简餐</t>
  </si>
  <si>
    <t>特色美食廊</t>
  </si>
  <si>
    <t>婚宴</t>
  </si>
  <si>
    <t>自助餐</t>
  </si>
  <si>
    <t>宴会</t>
  </si>
  <si>
    <t>三、G20峰会体验馆</t>
  </si>
  <si>
    <t>游客</t>
  </si>
  <si>
    <t>旅行社工作人员</t>
  </si>
  <si>
    <t>四、专项调研</t>
  </si>
  <si>
    <t>五、酒店客户</t>
  </si>
  <si>
    <t>酒店散客</t>
  </si>
  <si>
    <t>酒店住宿团队</t>
  </si>
  <si>
    <t>酒店参会客户</t>
  </si>
  <si>
    <t>酒店会议主（承）办</t>
  </si>
  <si>
    <t>酒店餐饮客户</t>
  </si>
  <si>
    <t>六、酒店暗访（次）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</si>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</sst>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宋体"/>
      <family val="2"/>
      <scheme val="minor"/>
    </font>
    <font>
      <b/>
      <sz val="20"/>
      <color rgb="FFFFFFFF"/>
      <name val="楷体"/>
      <family val="3"/>
      <charset val="134"/>
    </font>
    <font>
      <b/>
      <sz val="15"/>
      <color rgb="FFFFFFFF"/>
      <name val="楷体"/>
      <family val="3"/>
      <charset val="134"/>
    </font>
    <font>
      <b/>
      <sz val="14"/>
      <color rgb="FFFFFFFF"/>
      <name val="楷体"/>
      <family val="3"/>
      <charset val="134"/>
    </font>
    <font>
      <sz val="15"/>
      <color rgb="FF000000"/>
      <name val="Times New Roman"/>
      <family val="1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32046"/>
        <bgColor rgb="FFB32046"/>
      </patternFill>
    </fill>
    <fill>
      <patternFill patternType="solid">
        <fgColor rgb="FFF4E8E8"/>
        <bgColor rgb="FFF4E8E8"/>
      </patternFill>
    </fill>
  </fills>
  <borders count="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" fontId="4" fillId="3" borderId="1" xfId="0" applyNumberFormat="1" applyFont="1" applyFill="1" applyBorder="1" applyAlignment="1">
      <alignment horizontal="center" vertical="center" wrapText="1"/>
    </xf>
    <xf numFmtId="10" fontId="4" fillId="3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2" fillId="2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"/>
  <sheetViews>
    <sheetView showGridLines="0" tabSelected="1" workbookViewId="0">
      <pane xSplit="2" ySplit="2" topLeftCell="C3" activePane="bottomRight" state="frozen"/>
      <selection pane="topRight"/>
      <selection pane="bottomLeft"/>
      <selection pane="bottomRight" activeCell="E10" sqref="E10"/>
    </sheetView>
  </sheetViews>
  <sheetFormatPr baseColWidth="10" defaultColWidth="8.83203125" defaultRowHeight="14"/>
  <cols>
    <col min="1" max="1" width="24" customWidth="1"/>
    <col min="2" max="2" width="30" customWidth="1"/>
    <col min="3" max="7" width="22" customWidth="1"/>
  </cols>
  <sheetData>
    <row r="1" spans="1:7" ht="36" customHeight="1">
      <c r="A1" s="6" t="s">
        <v>0</v>
      </c>
      <c r="B1" s="6"/>
      <c r="C1" s="6"/>
      <c r="D1" s="6"/>
      <c r="E1" s="6"/>
      <c r="F1" s="6"/>
      <c r="G1" s="6"/>
    </row>
    <row r="2" spans="1:7" ht="28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24" customHeight="1">
      <c r="A3" s="5" t="s">
        <v>8</v>
      </c>
      <c r="B3" s="2" t="s">
        <v>9</v>
      </c>
      <c r="C3" s="3">
        <v>38</v>
      </c>
      <c r="D3" s="4">
        <f t="shared" ref="D3:D28" si="0">IFERROR(E3/C3,0)</f>
        <v>0.31578947368421051</v>
      </c>
      <c r="E3" s="3">
        <f t="shared" ref="E3:E9" si="1">SUM(F3:G3)</f>
        <v>12</v>
      </c>
      <c r="F3" s="3">
        <v>1</v>
      </c>
      <c r="G3" s="3">
        <v>11</v>
      </c>
    </row>
    <row r="4" spans="1:7" ht="24" customHeight="1">
      <c r="A4" s="7"/>
      <c r="B4" s="2" t="s">
        <v>10</v>
      </c>
      <c r="C4" s="3">
        <v>722</v>
      </c>
      <c r="D4" s="4">
        <f t="shared" si="0"/>
        <v>0.16343490304709141</v>
      </c>
      <c r="E4" s="3">
        <f t="shared" si="1"/>
        <v>118</v>
      </c>
      <c r="F4" s="3">
        <v>24</v>
      </c>
      <c r="G4" s="3">
        <v>94</v>
      </c>
    </row>
    <row r="5" spans="1:7" ht="24" customHeight="1">
      <c r="A5" s="7"/>
      <c r="B5" s="2" t="s">
        <v>11</v>
      </c>
      <c r="C5" s="3">
        <v>930</v>
      </c>
      <c r="D5" s="4">
        <f t="shared" si="0"/>
        <v>0.16129032258064516</v>
      </c>
      <c r="E5" s="3">
        <f t="shared" si="1"/>
        <v>150</v>
      </c>
      <c r="F5" s="3">
        <v>30</v>
      </c>
      <c r="G5" s="3">
        <v>120</v>
      </c>
    </row>
    <row r="6" spans="1:7" ht="24" customHeight="1">
      <c r="A6" s="7"/>
      <c r="B6" s="2" t="s">
        <v>12</v>
      </c>
      <c r="C6" s="3">
        <v>38</v>
      </c>
      <c r="D6" s="4">
        <f t="shared" si="0"/>
        <v>0.21052631578947367</v>
      </c>
      <c r="E6" s="3">
        <f t="shared" si="1"/>
        <v>8</v>
      </c>
      <c r="F6" s="3">
        <v>0</v>
      </c>
      <c r="G6" s="3">
        <v>8</v>
      </c>
    </row>
    <row r="7" spans="1:7" ht="24" customHeight="1">
      <c r="A7" s="7"/>
      <c r="B7" s="2" t="s">
        <v>13</v>
      </c>
      <c r="C7" s="3">
        <v>38</v>
      </c>
      <c r="D7" s="4">
        <f t="shared" si="0"/>
        <v>0.34210526315789475</v>
      </c>
      <c r="E7" s="3">
        <f t="shared" si="1"/>
        <v>13</v>
      </c>
      <c r="F7" s="3">
        <v>7</v>
      </c>
      <c r="G7" s="3">
        <v>6</v>
      </c>
    </row>
    <row r="8" spans="1:7" ht="24" customHeight="1">
      <c r="A8" s="7"/>
      <c r="B8" s="2" t="s">
        <v>14</v>
      </c>
      <c r="C8" s="3">
        <v>930</v>
      </c>
      <c r="D8" s="4">
        <f t="shared" si="0"/>
        <v>0.3086021505376344</v>
      </c>
      <c r="E8" s="3">
        <f t="shared" si="1"/>
        <v>287</v>
      </c>
      <c r="F8" s="3">
        <v>183</v>
      </c>
      <c r="G8" s="3">
        <v>104</v>
      </c>
    </row>
    <row r="9" spans="1:7" ht="24" customHeight="1">
      <c r="A9" s="8"/>
      <c r="B9" s="2" t="s">
        <v>15</v>
      </c>
      <c r="C9" s="3">
        <v>38</v>
      </c>
      <c r="D9" s="4">
        <f t="shared" si="0"/>
        <v>0</v>
      </c>
      <c r="E9" s="3">
        <f t="shared" si="1"/>
        <v>0</v>
      </c>
      <c r="F9" s="3">
        <v>0</v>
      </c>
      <c r="G9" s="3">
        <v>0</v>
      </c>
    </row>
    <row r="10" spans="1:7" ht="24" customHeight="1">
      <c r="A10" s="5" t="s">
        <v>16</v>
      </c>
      <c r="B10" s="5"/>
      <c r="C10" s="3">
        <f>SUM(C3:C9)</f>
        <v>2734</v>
      </c>
      <c r="D10" s="4">
        <f t="shared" si="0"/>
        <v>0.21506949524506219</v>
      </c>
      <c r="E10" s="3">
        <f>SUM(E3:E9)</f>
        <v>588</v>
      </c>
      <c r="F10" s="3">
        <f>SUM(F3:F9)</f>
        <v>245</v>
      </c>
      <c r="G10" s="3">
        <f>SUM(G3:G9)</f>
        <v>343</v>
      </c>
    </row>
    <row r="11" spans="1:7" ht="24" customHeight="1">
      <c r="A11" s="5" t="s">
        <v>17</v>
      </c>
      <c r="B11" s="2" t="s">
        <v>18</v>
      </c>
      <c r="C11" s="3">
        <v>285</v>
      </c>
      <c r="D11" s="4">
        <f t="shared" si="0"/>
        <v>0.29473684210526313</v>
      </c>
      <c r="E11" s="3">
        <f>SUM(F11:G11)</f>
        <v>84</v>
      </c>
      <c r="F11" s="3">
        <v>55</v>
      </c>
      <c r="G11" s="3">
        <v>29</v>
      </c>
    </row>
    <row r="12" spans="1:7" ht="24" customHeight="1">
      <c r="A12" s="7"/>
      <c r="B12" s="2" t="s">
        <v>19</v>
      </c>
      <c r="C12" s="3">
        <v>285</v>
      </c>
      <c r="D12" s="4">
        <f t="shared" si="0"/>
        <v>8.0701754385964913E-2</v>
      </c>
      <c r="E12" s="3">
        <f>SUM(F12:G12)</f>
        <v>23</v>
      </c>
      <c r="F12" s="3">
        <v>0</v>
      </c>
      <c r="G12" s="3">
        <v>23</v>
      </c>
    </row>
    <row r="13" spans="1:7" ht="24" customHeight="1">
      <c r="A13" s="7"/>
      <c r="B13" s="2" t="s">
        <v>20</v>
      </c>
      <c r="C13" s="3">
        <v>57</v>
      </c>
      <c r="D13" s="4">
        <f t="shared" si="0"/>
        <v>0.31578947368421051</v>
      </c>
      <c r="E13" s="3">
        <f>SUM(F13:G13)</f>
        <v>18</v>
      </c>
      <c r="F13" s="3">
        <v>0</v>
      </c>
      <c r="G13" s="3">
        <v>18</v>
      </c>
    </row>
    <row r="14" spans="1:7" ht="24" customHeight="1">
      <c r="A14" s="7"/>
      <c r="B14" s="2" t="s">
        <v>21</v>
      </c>
      <c r="C14" s="3">
        <v>152</v>
      </c>
      <c r="D14" s="4">
        <f t="shared" si="0"/>
        <v>5.921052631578947E-2</v>
      </c>
      <c r="E14" s="3">
        <f>SUM(F14:G14)</f>
        <v>9</v>
      </c>
      <c r="F14" s="3">
        <v>1</v>
      </c>
      <c r="G14" s="3">
        <v>8</v>
      </c>
    </row>
    <row r="15" spans="1:7" ht="24" customHeight="1">
      <c r="A15" s="8"/>
      <c r="B15" s="2" t="s">
        <v>22</v>
      </c>
      <c r="C15" s="3">
        <v>152</v>
      </c>
      <c r="D15" s="4">
        <f t="shared" si="0"/>
        <v>0.23684210526315788</v>
      </c>
      <c r="E15" s="3">
        <f>SUM(F15:G15)</f>
        <v>36</v>
      </c>
      <c r="F15" s="3">
        <v>25</v>
      </c>
      <c r="G15" s="3">
        <v>11</v>
      </c>
    </row>
    <row r="16" spans="1:7" ht="24" customHeight="1">
      <c r="A16" s="5" t="s">
        <v>16</v>
      </c>
      <c r="B16" s="5"/>
      <c r="C16" s="3">
        <f>SUM(C11:C15)</f>
        <v>931</v>
      </c>
      <c r="D16" s="4">
        <f t="shared" si="0"/>
        <v>0.18259935553168635</v>
      </c>
      <c r="E16" s="3">
        <f>SUM(E11:E15)</f>
        <v>170</v>
      </c>
      <c r="F16" s="3">
        <f>SUM(F11:F15)</f>
        <v>81</v>
      </c>
      <c r="G16" s="3">
        <f>SUM(G11:G15)</f>
        <v>89</v>
      </c>
    </row>
    <row r="17" spans="1:7" ht="24" customHeight="1">
      <c r="A17" s="5" t="s">
        <v>23</v>
      </c>
      <c r="B17" s="2" t="s">
        <v>24</v>
      </c>
      <c r="C17" s="3">
        <v>75</v>
      </c>
      <c r="D17" s="4">
        <f t="shared" si="0"/>
        <v>0.12</v>
      </c>
      <c r="E17" s="3">
        <f>SUM(F17:G17)</f>
        <v>9</v>
      </c>
      <c r="F17" s="3">
        <v>0</v>
      </c>
      <c r="G17" s="3">
        <v>9</v>
      </c>
    </row>
    <row r="18" spans="1:7" ht="24" customHeight="1">
      <c r="A18" s="8"/>
      <c r="B18" s="2" t="s">
        <v>25</v>
      </c>
      <c r="C18" s="3">
        <v>15</v>
      </c>
      <c r="D18" s="4">
        <f t="shared" si="0"/>
        <v>6.6666666666666666E-2</v>
      </c>
      <c r="E18" s="3">
        <f>SUM(F18:G18)</f>
        <v>1</v>
      </c>
      <c r="F18" s="3">
        <v>0</v>
      </c>
      <c r="G18" s="3">
        <v>1</v>
      </c>
    </row>
    <row r="19" spans="1:7" ht="24" customHeight="1">
      <c r="A19" s="5" t="s">
        <v>16</v>
      </c>
      <c r="B19" s="5"/>
      <c r="C19" s="3">
        <f>SUM(C17:C18)</f>
        <v>90</v>
      </c>
      <c r="D19" s="4">
        <f t="shared" si="0"/>
        <v>0.1111111111111111</v>
      </c>
      <c r="E19" s="3">
        <f>SUM(E17:E18)</f>
        <v>10</v>
      </c>
      <c r="F19" s="3">
        <f>SUM(F17:F18)</f>
        <v>0</v>
      </c>
      <c r="G19" s="3">
        <f>SUM(G17:G18)</f>
        <v>10</v>
      </c>
    </row>
    <row r="20" spans="1:7" ht="24" customHeight="1">
      <c r="A20" s="5" t="s">
        <v>26</v>
      </c>
      <c r="B20" s="5"/>
      <c r="C20" s="3">
        <v>171</v>
      </c>
      <c r="D20" s="4">
        <f t="shared" si="0"/>
        <v>0</v>
      </c>
      <c r="E20" s="3">
        <f t="shared" ref="E20:E25" si="2">SUM(F20:G20)</f>
        <v>0</v>
      </c>
      <c r="F20" s="3">
        <v>0</v>
      </c>
      <c r="G20" s="3">
        <v>0</v>
      </c>
    </row>
    <row r="21" spans="1:7" ht="24" customHeight="1">
      <c r="A21" s="5" t="s">
        <v>27</v>
      </c>
      <c r="B21" s="2" t="s">
        <v>28</v>
      </c>
      <c r="C21" s="3">
        <v>100</v>
      </c>
      <c r="D21" s="4">
        <f t="shared" si="0"/>
        <v>0.02</v>
      </c>
      <c r="E21" s="3">
        <f t="shared" si="2"/>
        <v>2</v>
      </c>
      <c r="F21" s="3">
        <v>0</v>
      </c>
      <c r="G21" s="3">
        <v>2</v>
      </c>
    </row>
    <row r="22" spans="1:7" ht="24" customHeight="1">
      <c r="A22" s="7"/>
      <c r="B22" s="2" t="s">
        <v>29</v>
      </c>
      <c r="C22" s="3">
        <v>150</v>
      </c>
      <c r="D22" s="4">
        <f t="shared" si="0"/>
        <v>0.34666666666666668</v>
      </c>
      <c r="E22" s="3">
        <f t="shared" si="2"/>
        <v>52</v>
      </c>
      <c r="F22" s="3">
        <v>47</v>
      </c>
      <c r="G22" s="3">
        <v>5</v>
      </c>
    </row>
    <row r="23" spans="1:7" ht="24" customHeight="1">
      <c r="A23" s="7"/>
      <c r="B23" s="2" t="s">
        <v>30</v>
      </c>
      <c r="C23" s="3">
        <v>75</v>
      </c>
      <c r="D23" s="4">
        <f t="shared" si="0"/>
        <v>0.4</v>
      </c>
      <c r="E23" s="3">
        <f t="shared" si="2"/>
        <v>30</v>
      </c>
      <c r="F23" s="3">
        <v>20</v>
      </c>
      <c r="G23" s="3">
        <v>10</v>
      </c>
    </row>
    <row r="24" spans="1:7" ht="24" customHeight="1">
      <c r="A24" s="7"/>
      <c r="B24" s="2" t="s">
        <v>31</v>
      </c>
      <c r="C24" s="3">
        <v>9</v>
      </c>
      <c r="D24" s="4">
        <f t="shared" si="0"/>
        <v>0</v>
      </c>
      <c r="E24" s="3">
        <f t="shared" si="2"/>
        <v>0</v>
      </c>
      <c r="F24" s="3">
        <v>0</v>
      </c>
      <c r="G24" s="3">
        <v>0</v>
      </c>
    </row>
    <row r="25" spans="1:7" ht="24" customHeight="1">
      <c r="A25" s="8"/>
      <c r="B25" s="2" t="s">
        <v>32</v>
      </c>
      <c r="C25" s="3">
        <v>266</v>
      </c>
      <c r="D25" s="4">
        <f t="shared" si="0"/>
        <v>9.0225563909774431E-2</v>
      </c>
      <c r="E25" s="3">
        <f t="shared" si="2"/>
        <v>24</v>
      </c>
      <c r="F25" s="3">
        <v>18</v>
      </c>
      <c r="G25" s="3">
        <v>6</v>
      </c>
    </row>
    <row r="26" spans="1:7" ht="24" customHeight="1">
      <c r="A26" s="5" t="s">
        <v>16</v>
      </c>
      <c r="B26" s="5"/>
      <c r="C26" s="3">
        <f>SUM(C21:C25)</f>
        <v>600</v>
      </c>
      <c r="D26" s="4">
        <f t="shared" si="0"/>
        <v>0.18</v>
      </c>
      <c r="E26" s="3">
        <f>SUM(E21:E25)</f>
        <v>108</v>
      </c>
      <c r="F26" s="3">
        <f>SUM(F21:F25)</f>
        <v>85</v>
      </c>
      <c r="G26" s="3">
        <f>SUM(G21:G25)</f>
        <v>23</v>
      </c>
    </row>
    <row r="27" spans="1:7" ht="24" customHeight="1">
      <c r="A27" s="5" t="s">
        <v>33</v>
      </c>
      <c r="B27" s="5"/>
      <c r="C27" s="3">
        <v>4</v>
      </c>
      <c r="D27" s="4">
        <f t="shared" si="0"/>
        <v>0</v>
      </c>
      <c r="E27" s="3">
        <f>SUM(F27:G27)</f>
        <v>0</v>
      </c>
      <c r="F27" s="3">
        <v>0</v>
      </c>
      <c r="G27" s="3">
        <v>0</v>
      </c>
    </row>
    <row r="28" spans="1:7" ht="28" customHeight="1">
      <c r="A28" s="9" t="s">
        <v>34</v>
      </c>
      <c r="B28" s="9"/>
      <c r="C28" s="3">
        <f>SUM(C3:C9,C11:C15,C17:C18,C20:C20,C21:C25,C27:C27)</f>
        <v>4530</v>
      </c>
      <c r="D28" s="4">
        <f t="shared" si="0"/>
        <v>0.19337748344370861</v>
      </c>
      <c r="E28" s="3">
        <f>SUM(E3:E9,E11:E15,E17:E18,E20:E20,E21:E25,E27:E27)</f>
        <v>876</v>
      </c>
      <c r="F28" s="3">
        <f>SUM(F3:F9,F11:F15,F17:F18,F20:F20,F21:F25,F27:F27)</f>
        <v>411</v>
      </c>
      <c r="G28" s="3">
        <f>SUM(G3:G9,G11:G15,G17:G18,G20:G20,G21:G25,G27:G27)</f>
        <v>465</v>
      </c>
    </row>
  </sheetData>
  <mergeCells count="12">
    <mergeCell ref="A28:B28"/>
    <mergeCell ref="A11:A15"/>
    <mergeCell ref="A27:B27"/>
    <mergeCell ref="A20:B20"/>
    <mergeCell ref="A26:B26"/>
    <mergeCell ref="A16:B16"/>
    <mergeCell ref="A1:G1"/>
    <mergeCell ref="A21:A25"/>
    <mergeCell ref="A17:A18"/>
    <mergeCell ref="A3:A9"/>
    <mergeCell ref="A19:B19"/>
    <mergeCell ref="A10:B10"/>
  </mergeCells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样本统计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张奇进</cp:lastModifiedBy>
  <dcterms:created xsi:type="dcterms:W3CDTF">2026-05-12T02:35:16Z</dcterms:created>
  <dcterms:modified xsi:type="dcterms:W3CDTF">2026-05-12T02:42:51Z</dcterms:modified>
</cp:coreProperties>
</file>