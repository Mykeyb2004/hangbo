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  <c r="G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1-2月</t>
        </is>
      </c>
      <c r="G2" s="2" t="inlineStr">
        <is>
          <t>3月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 t="n">
        <v>12</v>
      </c>
      <c r="F3" s="4" t="n">
        <v>1</v>
      </c>
      <c r="G3" s="4" t="n">
        <v>11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 t="n">
        <v>118</v>
      </c>
      <c r="F4" s="4" t="n">
        <v>24</v>
      </c>
      <c r="G4" s="4" t="n">
        <v>94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 t="n">
        <v>150</v>
      </c>
      <c r="F5" s="4" t="n">
        <v>30</v>
      </c>
      <c r="G5" s="4" t="n">
        <v>120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 t="n">
        <v>8</v>
      </c>
      <c r="F6" s="4" t="n">
        <v>0</v>
      </c>
      <c r="G6" s="4" t="n">
        <v>8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 t="n">
        <v>13</v>
      </c>
      <c r="F7" s="4" t="n">
        <v>7</v>
      </c>
      <c r="G7" s="4" t="n">
        <v>6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 t="n">
        <v>287</v>
      </c>
      <c r="F8" s="4" t="n">
        <v>183</v>
      </c>
      <c r="G8" s="4" t="n">
        <v>104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 t="n">
        <v>0</v>
      </c>
      <c r="F9" s="4" t="n">
        <v>0</v>
      </c>
      <c r="G9" s="4" t="n">
        <v>0</v>
      </c>
    </row>
    <row r="10" ht="24" customHeight="1">
      <c r="A10" s="3" t="n"/>
      <c r="B10" s="3" t="inlineStr">
        <is>
          <t>小计</t>
        </is>
      </c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  <c r="G10" s="4">
        <f>SUM(G3:G9)</f>
        <v/>
      </c>
    </row>
    <row r="11" ht="24" customHeight="1">
      <c r="A11" s="3" t="inlineStr">
        <is>
          <t>二、酒店暗访（次）</t>
        </is>
      </c>
      <c r="B11" s="3" t="n"/>
      <c r="C11" s="4" t="n">
        <v>4</v>
      </c>
      <c r="D11" s="5">
        <f>IFERROR(E11/C11,0)</f>
        <v/>
      </c>
      <c r="E11" s="4" t="n">
        <v>1</v>
      </c>
      <c r="F11" s="4" t="n">
        <v>0</v>
      </c>
      <c r="G11" s="4" t="n">
        <v>0</v>
      </c>
    </row>
    <row r="12" ht="24" customHeight="1">
      <c r="A12" s="3" t="inlineStr">
        <is>
          <t>三、餐饮客户</t>
        </is>
      </c>
      <c r="B12" s="3" t="inlineStr">
        <is>
          <t>商务简餐</t>
        </is>
      </c>
      <c r="C12" s="4" t="n">
        <v>285</v>
      </c>
      <c r="D12" s="5">
        <f>IFERROR(E12/C12,0)</f>
        <v/>
      </c>
      <c r="E12" s="4" t="n">
        <v>84</v>
      </c>
      <c r="F12" s="4" t="n">
        <v>55</v>
      </c>
      <c r="G12" s="4" t="n">
        <v>29</v>
      </c>
    </row>
    <row r="13" ht="24" customHeight="1">
      <c r="A13" s="6" t="n"/>
      <c r="B13" s="3" t="inlineStr">
        <is>
          <t>特色美食廊</t>
        </is>
      </c>
      <c r="C13" s="4" t="n">
        <v>285</v>
      </c>
      <c r="D13" s="5">
        <f>IFERROR(E13/C13,0)</f>
        <v/>
      </c>
      <c r="E13" s="4" t="n">
        <v>23</v>
      </c>
      <c r="F13" s="4" t="n">
        <v>0</v>
      </c>
      <c r="G13" s="4" t="n">
        <v>23</v>
      </c>
    </row>
    <row r="14" ht="24" customHeight="1">
      <c r="A14" s="6" t="n"/>
      <c r="B14" s="3" t="inlineStr">
        <is>
          <t>宴会</t>
        </is>
      </c>
      <c r="C14" s="4" t="n">
        <v>152</v>
      </c>
      <c r="D14" s="5">
        <f>IFERROR(E14/C14,0)</f>
        <v/>
      </c>
      <c r="E14" s="4" t="n">
        <v>36</v>
      </c>
      <c r="F14" s="4" t="n">
        <v>25</v>
      </c>
      <c r="G14" s="4" t="n">
        <v>11</v>
      </c>
    </row>
    <row r="15" ht="24" customHeight="1">
      <c r="A15" s="6" t="n"/>
      <c r="B15" s="3" t="inlineStr">
        <is>
          <t>婚宴</t>
        </is>
      </c>
      <c r="C15" s="4" t="n">
        <v>57</v>
      </c>
      <c r="D15" s="5">
        <f>IFERROR(E15/C15,0)</f>
        <v/>
      </c>
      <c r="E15" s="4" t="n">
        <v>18</v>
      </c>
      <c r="F15" s="4" t="n">
        <v>0</v>
      </c>
      <c r="G15" s="4" t="n">
        <v>18</v>
      </c>
    </row>
    <row r="16" ht="24" customHeight="1">
      <c r="A16" s="7" t="n"/>
      <c r="B16" s="3" t="inlineStr">
        <is>
          <t>自助餐</t>
        </is>
      </c>
      <c r="C16" s="4" t="n">
        <v>152</v>
      </c>
      <c r="D16" s="5">
        <f>IFERROR(E16/C16,0)</f>
        <v/>
      </c>
      <c r="E16" s="4" t="n">
        <v>10</v>
      </c>
      <c r="F16" s="4" t="n">
        <v>2</v>
      </c>
      <c r="G16" s="4" t="n">
        <v>8</v>
      </c>
    </row>
    <row r="17" ht="24" customHeight="1">
      <c r="A17" s="3" t="n"/>
      <c r="B17" s="3" t="inlineStr">
        <is>
          <t>小计</t>
        </is>
      </c>
      <c r="C17" s="4">
        <f>SUM(C12:C16)</f>
        <v/>
      </c>
      <c r="D17" s="5">
        <f>IFERROR(E17/C17,0)</f>
        <v/>
      </c>
      <c r="E17" s="4">
        <f>SUM(E12:E16)</f>
        <v/>
      </c>
      <c r="F17" s="4">
        <f>SUM(F12:F16)</f>
        <v/>
      </c>
      <c r="G17" s="4">
        <f>SUM(G12:G16)</f>
        <v/>
      </c>
    </row>
    <row r="18" ht="24" customHeight="1">
      <c r="A18" s="3" t="inlineStr">
        <is>
          <t>四、G20峰会体验馆</t>
        </is>
      </c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 t="n">
        <v>1</v>
      </c>
      <c r="F18" s="4" t="n">
        <v>0</v>
      </c>
      <c r="G18" s="4" t="n">
        <v>1</v>
      </c>
    </row>
    <row r="19" ht="24" customHeight="1">
      <c r="A19" s="7" t="n"/>
      <c r="B19" s="3" t="inlineStr">
        <is>
          <t>游客</t>
        </is>
      </c>
      <c r="C19" s="4" t="n">
        <v>75</v>
      </c>
      <c r="D19" s="5">
        <f>IFERROR(E19/C19,0)</f>
        <v/>
      </c>
      <c r="E19" s="4" t="n">
        <v>9</v>
      </c>
      <c r="F19" s="4" t="n">
        <v>0</v>
      </c>
      <c r="G19" s="4" t="n">
        <v>9</v>
      </c>
    </row>
    <row r="20" ht="24" customHeight="1">
      <c r="A20" s="3" t="n"/>
      <c r="B20" s="3" t="inlineStr">
        <is>
          <t>小计</t>
        </is>
      </c>
      <c r="C20" s="4">
        <f>SUM(C18:C19)</f>
        <v/>
      </c>
      <c r="D20" s="5">
        <f>IFERROR(E20/C20,0)</f>
        <v/>
      </c>
      <c r="E20" s="4">
        <f>SUM(E18:E19)</f>
        <v/>
      </c>
      <c r="F20" s="4">
        <f>SUM(F18:F19)</f>
        <v/>
      </c>
      <c r="G20" s="4">
        <f>SUM(G18:G19)</f>
        <v/>
      </c>
    </row>
    <row r="21" ht="24" customHeight="1">
      <c r="A21" s="3" t="inlineStr">
        <is>
          <t>五、专项调研</t>
        </is>
      </c>
      <c r="B21" s="3" t="n"/>
      <c r="C21" s="4" t="n">
        <v>171</v>
      </c>
      <c r="D21" s="5">
        <f>IFERROR(E21/C21,0)</f>
        <v/>
      </c>
      <c r="E21" s="4" t="n">
        <v>0</v>
      </c>
      <c r="F21" s="4" t="n">
        <v>0</v>
      </c>
      <c r="G21" s="4" t="n">
        <v>0</v>
      </c>
    </row>
    <row r="22" ht="24" customHeight="1">
      <c r="A22" s="3" t="inlineStr">
        <is>
          <t>六、酒店客户</t>
        </is>
      </c>
      <c r="B22" s="3" t="inlineStr">
        <is>
          <t>酒店散客</t>
        </is>
      </c>
      <c r="C22" s="4" t="n">
        <v>100</v>
      </c>
      <c r="D22" s="5">
        <f>IFERROR(E22/C22,0)</f>
        <v/>
      </c>
      <c r="E22" s="4" t="n">
        <v>2</v>
      </c>
      <c r="F22" s="4" t="n">
        <v>0</v>
      </c>
      <c r="G22" s="4" t="n">
        <v>2</v>
      </c>
    </row>
    <row r="23" ht="24" customHeight="1">
      <c r="A23" s="6" t="n"/>
      <c r="B23" s="3" t="inlineStr">
        <is>
          <t>酒店住宿团队</t>
        </is>
      </c>
      <c r="C23" s="4" t="n">
        <v>150</v>
      </c>
      <c r="D23" s="5">
        <f>IFERROR(E23/C23,0)</f>
        <v/>
      </c>
      <c r="E23" s="4" t="n">
        <v>52</v>
      </c>
      <c r="F23" s="4" t="n">
        <v>47</v>
      </c>
      <c r="G23" s="4" t="n">
        <v>5</v>
      </c>
    </row>
    <row r="24" ht="24" customHeight="1">
      <c r="A24" s="6" t="n"/>
      <c r="B24" s="3" t="inlineStr">
        <is>
          <t>酒店参会客户</t>
        </is>
      </c>
      <c r="C24" s="4" t="n">
        <v>75</v>
      </c>
      <c r="D24" s="5">
        <f>IFERROR(E24/C24,0)</f>
        <v/>
      </c>
      <c r="E24" s="4" t="n">
        <v>30</v>
      </c>
      <c r="F24" s="4" t="n">
        <v>20</v>
      </c>
      <c r="G24" s="4" t="n">
        <v>10</v>
      </c>
    </row>
    <row r="25" ht="24" customHeight="1">
      <c r="A25" s="6" t="n"/>
      <c r="B25" s="3" t="inlineStr">
        <is>
          <t>酒店会议活动主（承）办</t>
        </is>
      </c>
      <c r="C25" s="4" t="n">
        <v>9</v>
      </c>
      <c r="D25" s="5">
        <f>IFERROR(E25/C25,0)</f>
        <v/>
      </c>
      <c r="E25" s="4" t="n">
        <v>0</v>
      </c>
      <c r="F25" s="4" t="n">
        <v>0</v>
      </c>
      <c r="G25" s="4" t="n">
        <v>0</v>
      </c>
    </row>
    <row r="26" ht="24" customHeight="1">
      <c r="A26" s="7" t="n"/>
      <c r="B26" s="3" t="inlineStr">
        <is>
          <t>酒店餐饮客户</t>
        </is>
      </c>
      <c r="C26" s="4" t="n">
        <v>266</v>
      </c>
      <c r="D26" s="5">
        <f>IFERROR(E26/C26,0)</f>
        <v/>
      </c>
      <c r="E26" s="4" t="n">
        <v>23</v>
      </c>
      <c r="F26" s="4" t="n">
        <v>17</v>
      </c>
      <c r="G26" s="4" t="n">
        <v>6</v>
      </c>
    </row>
    <row r="27" ht="24" customHeight="1">
      <c r="A27" s="3" t="n"/>
      <c r="B27" s="3" t="inlineStr">
        <is>
          <t>小计</t>
        </is>
      </c>
      <c r="C27" s="4">
        <f>SUM(C22:C26)</f>
        <v/>
      </c>
      <c r="D27" s="5">
        <f>IFERROR(E27/C27,0)</f>
        <v/>
      </c>
      <c r="E27" s="4">
        <f>SUM(E22:E26)</f>
        <v/>
      </c>
      <c r="F27" s="4">
        <f>SUM(F22:F26)</f>
        <v/>
      </c>
      <c r="G27" s="4">
        <f>SUM(G22:G26)</f>
        <v/>
      </c>
    </row>
    <row r="28" ht="28" customHeight="1">
      <c r="A28" s="2" t="inlineStr">
        <is>
          <t>合计</t>
        </is>
      </c>
      <c r="B28" s="2" t="n"/>
      <c r="C28" s="4">
        <f>SUM(C3:C9,C11:C11,C12:C16,C18:C19,C21:C21,C22:C26)</f>
        <v/>
      </c>
      <c r="D28" s="5">
        <f>IFERROR(E28/C28,0)</f>
        <v/>
      </c>
      <c r="E28" s="4">
        <f>SUM(E3:E9,E11:E11,E12:E16,E18:E19,E21:E21,E22:E26)</f>
        <v/>
      </c>
      <c r="F28" s="4">
        <f>SUM(F3:F9,F11:F11,F12:F16,F18:F19,F21:F21,F22:F26)</f>
        <v/>
      </c>
      <c r="G28" s="4">
        <f>SUM(G3:G9,G11:G11,G12:G16,G18:G19,G21:G21,G22:G26)</f>
        <v/>
      </c>
    </row>
  </sheetData>
  <mergeCells count="6">
    <mergeCell ref="A22:A26"/>
    <mergeCell ref="A12:A16"/>
    <mergeCell ref="A1:G1"/>
    <mergeCell ref="A3:A9"/>
    <mergeCell ref="A28:B28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2026-04-16T08:56:02Z</dcterms:created>
  <dcterms:modified xmlns:dcterms="http://purl.org/dc/terms/" xmlns:xsi="http://www.w3.org/2001/XMLSchema-instance" xsi:type="dcterms:W3CDTF">2026-04-16T08:56:02Z</dcterms:modified>
</cp:coreProperties>
</file>