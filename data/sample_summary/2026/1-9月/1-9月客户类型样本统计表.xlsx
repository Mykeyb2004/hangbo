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9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6" customHeight="1">
      <c r="A1" s="1" t="inlineStr">
        <is>
          <t>杭博客户类型样本统计表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9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1-2月</t>
        </is>
      </c>
      <c r="G2" s="2" t="inlineStr">
        <is>
          <t>3月</t>
        </is>
      </c>
      <c r="H2" s="2" t="inlineStr">
        <is>
          <t>4月</t>
        </is>
      </c>
      <c r="I2" s="2" t="inlineStr">
        <is>
          <t>5月</t>
        </is>
      </c>
      <c r="J2" s="2" t="inlineStr">
        <is>
          <t>6月</t>
        </is>
      </c>
      <c r="K2" s="2" t="inlineStr">
        <is>
          <t>7月</t>
        </is>
      </c>
      <c r="L2" s="2" t="inlineStr">
        <is>
          <t>8月</t>
        </is>
      </c>
      <c r="M2" s="2" t="inlineStr">
        <is>
          <t>9月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SUM(F3:M3)</f>
        <v/>
      </c>
      <c r="F3" s="4" t="n">
        <v>1</v>
      </c>
      <c r="G3" s="4" t="n">
        <v>11</v>
      </c>
      <c r="H3" s="4" t="n">
        <v>7</v>
      </c>
      <c r="I3" s="4" t="n">
        <v>5</v>
      </c>
      <c r="J3" s="4" t="n">
        <v>6</v>
      </c>
      <c r="K3" s="4" t="n">
        <v>5</v>
      </c>
      <c r="L3" s="4" t="n">
        <v>9</v>
      </c>
      <c r="M3" s="4" t="n">
        <v>7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SUM(F4:M4)</f>
        <v/>
      </c>
      <c r="F4" s="4" t="n">
        <v>24</v>
      </c>
      <c r="G4" s="4" t="n">
        <v>94</v>
      </c>
      <c r="H4" s="4" t="n">
        <v>67</v>
      </c>
      <c r="I4" s="4" t="n">
        <v>62</v>
      </c>
      <c r="J4" s="4" t="n">
        <v>88</v>
      </c>
      <c r="K4" s="4" t="n">
        <v>52</v>
      </c>
      <c r="L4" s="4" t="n">
        <v>80</v>
      </c>
      <c r="M4" s="4" t="n">
        <v>107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SUM(F5:M5)</f>
        <v/>
      </c>
      <c r="F5" s="4" t="n">
        <v>30</v>
      </c>
      <c r="G5" s="4" t="n">
        <v>120</v>
      </c>
      <c r="H5" s="4" t="n">
        <v>93</v>
      </c>
      <c r="I5" s="4" t="n">
        <v>77</v>
      </c>
      <c r="J5" s="4" t="n">
        <v>123</v>
      </c>
      <c r="K5" s="4" t="n">
        <v>55</v>
      </c>
      <c r="L5" s="4" t="n">
        <v>125</v>
      </c>
      <c r="M5" s="4" t="n">
        <v>6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SUM(F6:M6)</f>
        <v/>
      </c>
      <c r="F6" s="4" t="n">
        <v>0</v>
      </c>
      <c r="G6" s="4" t="n">
        <v>8</v>
      </c>
      <c r="H6" s="4" t="n">
        <v>5</v>
      </c>
      <c r="I6" s="4" t="n">
        <v>2</v>
      </c>
      <c r="J6" s="4" t="n">
        <v>2</v>
      </c>
      <c r="K6" s="4" t="n">
        <v>2</v>
      </c>
      <c r="L6" s="4" t="n">
        <v>9</v>
      </c>
      <c r="M6" s="4" t="n">
        <v>6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SUM(F7:M7)</f>
        <v/>
      </c>
      <c r="F7" s="4" t="n">
        <v>7</v>
      </c>
      <c r="G7" s="4" t="n">
        <v>6</v>
      </c>
      <c r="H7" s="4" t="n">
        <v>4</v>
      </c>
      <c r="I7" s="4" t="n">
        <v>6</v>
      </c>
      <c r="J7" s="4" t="n">
        <v>4</v>
      </c>
      <c r="K7" s="4" t="n">
        <v>3</v>
      </c>
      <c r="L7" s="4" t="n">
        <v>5</v>
      </c>
      <c r="M7" s="4" t="n">
        <v>3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SUM(F8:M8)</f>
        <v/>
      </c>
      <c r="F8" s="4" t="n">
        <v>183</v>
      </c>
      <c r="G8" s="4" t="n">
        <v>104</v>
      </c>
      <c r="H8" s="4" t="n">
        <v>104</v>
      </c>
      <c r="I8" s="4" t="n">
        <v>107</v>
      </c>
      <c r="J8" s="4" t="n">
        <v>33</v>
      </c>
      <c r="K8" s="4" t="n">
        <v>124</v>
      </c>
      <c r="L8" s="4" t="n">
        <v>88</v>
      </c>
      <c r="M8" s="4" t="n">
        <v>0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SUM(F9:M9)</f>
        <v/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</row>
    <row r="10" ht="24" customHeight="1">
      <c r="A10" s="3" t="inlineStr">
        <is>
          <t>小计</t>
        </is>
      </c>
      <c r="B10" s="9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  <c r="G10" s="4">
        <f>SUM(G3:G9)</f>
        <v/>
      </c>
      <c r="H10" s="4">
        <f>SUM(H3:H9)</f>
        <v/>
      </c>
      <c r="I10" s="4">
        <f>SUM(I3:I9)</f>
        <v/>
      </c>
      <c r="J10" s="4">
        <f>SUM(J3:J9)</f>
        <v/>
      </c>
      <c r="K10" s="4">
        <f>SUM(K3:K9)</f>
        <v/>
      </c>
      <c r="L10" s="4">
        <f>SUM(L3:L9)</f>
        <v/>
      </c>
      <c r="M10" s="4">
        <f>SUM(M3:M9)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SUM(F11:M11)</f>
        <v/>
      </c>
      <c r="F11" s="4" t="n">
        <v>62</v>
      </c>
      <c r="G11" s="4" t="n">
        <v>29</v>
      </c>
      <c r="H11" s="4" t="n">
        <v>40</v>
      </c>
      <c r="I11" s="4" t="n">
        <v>16</v>
      </c>
      <c r="J11" s="4" t="n">
        <v>18</v>
      </c>
      <c r="K11" s="4" t="n">
        <v>29</v>
      </c>
      <c r="L11" s="4" t="n">
        <v>14</v>
      </c>
      <c r="M11" s="4" t="n">
        <v>8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SUM(F12:M12)</f>
        <v/>
      </c>
      <c r="F12" s="4" t="n">
        <v>0</v>
      </c>
      <c r="G12" s="4" t="n">
        <v>23</v>
      </c>
      <c r="H12" s="4" t="n">
        <v>25</v>
      </c>
      <c r="I12" s="4" t="n">
        <v>28</v>
      </c>
      <c r="J12" s="4" t="n">
        <v>57</v>
      </c>
      <c r="K12" s="4" t="n">
        <v>41</v>
      </c>
      <c r="L12" s="4" t="n">
        <v>23</v>
      </c>
      <c r="M12" s="4" t="n">
        <v>40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SUM(F13:M13)</f>
        <v/>
      </c>
      <c r="F13" s="4" t="n">
        <v>0</v>
      </c>
      <c r="G13" s="4" t="n">
        <v>18</v>
      </c>
      <c r="H13" s="4" t="n">
        <v>16</v>
      </c>
      <c r="I13" s="4" t="n">
        <v>11</v>
      </c>
      <c r="J13" s="4" t="n">
        <v>22</v>
      </c>
      <c r="K13" s="4" t="n">
        <v>0</v>
      </c>
      <c r="L13" s="4" t="n">
        <v>0</v>
      </c>
      <c r="M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SUM(F14:M14)</f>
        <v/>
      </c>
      <c r="F14" s="4" t="n">
        <v>1</v>
      </c>
      <c r="G14" s="4" t="n">
        <v>8</v>
      </c>
      <c r="H14" s="4" t="n">
        <v>8</v>
      </c>
      <c r="I14" s="4" t="n">
        <v>2</v>
      </c>
      <c r="J14" s="4" t="n">
        <v>2</v>
      </c>
      <c r="K14" s="4" t="n">
        <v>0</v>
      </c>
      <c r="L14" s="4" t="n">
        <v>4</v>
      </c>
      <c r="M14" s="4" t="n">
        <v>16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SUM(F15:M15)</f>
        <v/>
      </c>
      <c r="F15" s="4" t="n">
        <v>25</v>
      </c>
      <c r="G15" s="4" t="n">
        <v>11</v>
      </c>
      <c r="H15" s="4" t="n">
        <v>10</v>
      </c>
      <c r="I15" s="4" t="n">
        <v>18</v>
      </c>
      <c r="J15" s="4" t="n">
        <v>0</v>
      </c>
      <c r="K15" s="4" t="n">
        <v>0</v>
      </c>
      <c r="L15" s="4" t="n">
        <v>0</v>
      </c>
      <c r="M15" s="4" t="n">
        <v>22</v>
      </c>
    </row>
    <row r="16" ht="24" customHeight="1">
      <c r="A16" s="3" t="inlineStr">
        <is>
          <t>小计</t>
        </is>
      </c>
      <c r="B16" s="9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  <c r="G16" s="4">
        <f>SUM(G11:G15)</f>
        <v/>
      </c>
      <c r="H16" s="4">
        <f>SUM(H11:H15)</f>
        <v/>
      </c>
      <c r="I16" s="4">
        <f>SUM(I11:I15)</f>
        <v/>
      </c>
      <c r="J16" s="4">
        <f>SUM(J11:J15)</f>
        <v/>
      </c>
      <c r="K16" s="4">
        <f>SUM(K11:K15)</f>
        <v/>
      </c>
      <c r="L16" s="4">
        <f>SUM(L11:L15)</f>
        <v/>
      </c>
      <c r="M16" s="4">
        <f>SUM(M11:M15)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SUM(F17:M17)</f>
        <v/>
      </c>
      <c r="F17" s="4" t="n">
        <v>0</v>
      </c>
      <c r="G17" s="4" t="n">
        <v>9</v>
      </c>
      <c r="H17" s="4" t="n">
        <v>0</v>
      </c>
      <c r="I17" s="4" t="n">
        <v>5</v>
      </c>
      <c r="J17" s="4" t="n">
        <v>29</v>
      </c>
      <c r="K17" s="4" t="n">
        <v>28</v>
      </c>
      <c r="L17" s="4" t="n">
        <v>6</v>
      </c>
      <c r="M17" s="4" t="n">
        <v>3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SUM(F18:M18)</f>
        <v/>
      </c>
      <c r="F18" s="4" t="n">
        <v>0</v>
      </c>
      <c r="G18" s="4" t="n">
        <v>1</v>
      </c>
      <c r="H18" s="4" t="n">
        <v>0</v>
      </c>
      <c r="I18" s="4" t="n">
        <v>0</v>
      </c>
      <c r="J18" s="4" t="n">
        <v>4</v>
      </c>
      <c r="K18" s="4" t="n">
        <v>4</v>
      </c>
      <c r="L18" s="4" t="n">
        <v>2</v>
      </c>
      <c r="M18" s="4" t="n">
        <v>1</v>
      </c>
    </row>
    <row r="19" ht="24" customHeight="1">
      <c r="A19" s="3" t="inlineStr">
        <is>
          <t>小计</t>
        </is>
      </c>
      <c r="B19" s="9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  <c r="G19" s="4">
        <f>SUM(G17:G18)</f>
        <v/>
      </c>
      <c r="H19" s="4">
        <f>SUM(H17:H18)</f>
        <v/>
      </c>
      <c r="I19" s="4">
        <f>SUM(I17:I18)</f>
        <v/>
      </c>
      <c r="J19" s="4">
        <f>SUM(J17:J18)</f>
        <v/>
      </c>
      <c r="K19" s="4">
        <f>SUM(K17:K18)</f>
        <v/>
      </c>
      <c r="L19" s="4">
        <f>SUM(L17:L18)</f>
        <v/>
      </c>
      <c r="M19" s="4">
        <f>SUM(M17:M18)</f>
        <v/>
      </c>
    </row>
    <row r="20" ht="24" customHeight="1">
      <c r="A20" s="3" t="inlineStr">
        <is>
          <t>四、专项调研</t>
        </is>
      </c>
      <c r="B20" s="9" t="n"/>
      <c r="C20" s="4" t="n">
        <v>171</v>
      </c>
      <c r="D20" s="5">
        <f>IFERROR(E20/C20,0)</f>
        <v/>
      </c>
      <c r="E20" s="4">
        <f>SUM(F20:M20)</f>
        <v/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51</v>
      </c>
      <c r="L20" s="4" t="n">
        <v>0</v>
      </c>
      <c r="M20" s="4" t="n">
        <v>69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SUM(F21:M21)</f>
        <v/>
      </c>
      <c r="F21" s="4" t="n">
        <v>0</v>
      </c>
      <c r="G21" s="4" t="n">
        <v>2</v>
      </c>
      <c r="H21" s="4" t="n">
        <v>14</v>
      </c>
      <c r="I21" s="4" t="n">
        <v>0</v>
      </c>
      <c r="J21" s="4" t="n">
        <v>4</v>
      </c>
      <c r="K21" s="4" t="n">
        <v>9</v>
      </c>
      <c r="L21" s="4" t="n">
        <v>29</v>
      </c>
      <c r="M21" s="4" t="n">
        <v>2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SUM(F22:M22)</f>
        <v/>
      </c>
      <c r="F22" s="4" t="n">
        <v>47</v>
      </c>
      <c r="G22" s="4" t="n">
        <v>5</v>
      </c>
      <c r="H22" s="4" t="n">
        <v>0</v>
      </c>
      <c r="I22" s="4" t="n">
        <v>18</v>
      </c>
      <c r="J22" s="4" t="n">
        <v>24</v>
      </c>
      <c r="K22" s="4" t="n">
        <v>17</v>
      </c>
      <c r="L22" s="4" t="n">
        <v>1</v>
      </c>
      <c r="M22" s="4" t="n">
        <v>0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SUM(F23:M23)</f>
        <v/>
      </c>
      <c r="F23" s="4" t="n">
        <v>20</v>
      </c>
      <c r="G23" s="4" t="n">
        <v>10</v>
      </c>
      <c r="H23" s="4" t="n">
        <v>7</v>
      </c>
      <c r="I23" s="4" t="n">
        <v>4</v>
      </c>
      <c r="J23" s="4" t="n">
        <v>36</v>
      </c>
      <c r="K23" s="4" t="n">
        <v>6</v>
      </c>
      <c r="L23" s="4" t="n">
        <v>3</v>
      </c>
      <c r="M23" s="4" t="n">
        <v>0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SUM(F24:M24)</f>
        <v/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4</v>
      </c>
      <c r="K24" s="4" t="n">
        <v>2</v>
      </c>
      <c r="L24" s="4" t="n">
        <v>0</v>
      </c>
      <c r="M24" s="4" t="n">
        <v>1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SUM(F25:M25)</f>
        <v/>
      </c>
      <c r="F25" s="4" t="n">
        <v>11</v>
      </c>
      <c r="G25" s="4" t="n">
        <v>6</v>
      </c>
      <c r="H25" s="4" t="n">
        <v>5</v>
      </c>
      <c r="I25" s="4" t="n">
        <v>14</v>
      </c>
      <c r="J25" s="4" t="n">
        <v>29</v>
      </c>
      <c r="K25" s="4" t="n">
        <v>25</v>
      </c>
      <c r="L25" s="4" t="n">
        <v>27</v>
      </c>
      <c r="M25" s="4" t="n">
        <v>4</v>
      </c>
    </row>
    <row r="26" ht="24" customHeight="1">
      <c r="A26" s="3" t="inlineStr">
        <is>
          <t>小计</t>
        </is>
      </c>
      <c r="B26" s="9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  <c r="G26" s="4">
        <f>SUM(G21:G25)</f>
        <v/>
      </c>
      <c r="H26" s="4">
        <f>SUM(H21:H25)</f>
        <v/>
      </c>
      <c r="I26" s="4">
        <f>SUM(I21:I25)</f>
        <v/>
      </c>
      <c r="J26" s="4">
        <f>SUM(J21:J25)</f>
        <v/>
      </c>
      <c r="K26" s="4">
        <f>SUM(K21:K25)</f>
        <v/>
      </c>
      <c r="L26" s="4">
        <f>SUM(L21:L25)</f>
        <v/>
      </c>
      <c r="M26" s="4">
        <f>SUM(M21:M25)</f>
        <v/>
      </c>
    </row>
    <row r="27" ht="24" customHeight="1">
      <c r="A27" s="3" t="inlineStr">
        <is>
          <t>六、酒店暗访（次）</t>
        </is>
      </c>
      <c r="B27" s="9" t="n"/>
      <c r="C27" s="4" t="n">
        <v>4</v>
      </c>
      <c r="D27" s="5">
        <f>IFERROR(E27/C27,0)</f>
        <v/>
      </c>
      <c r="E27" s="4">
        <f>SUM(F27:M27)</f>
        <v/>
      </c>
      <c r="F27" s="4" t="n">
        <v>0</v>
      </c>
      <c r="G27" s="4" t="n">
        <v>1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1</v>
      </c>
    </row>
    <row r="28" ht="28" customHeight="1">
      <c r="A28" s="2" t="inlineStr">
        <is>
          <t>合计</t>
        </is>
      </c>
      <c r="B28" s="9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  <c r="G28" s="4">
        <f>SUM(G3:G9,G11:G15,G17:G18,G20:G20,G21:G25,G27:G27)</f>
        <v/>
      </c>
      <c r="H28" s="4">
        <f>SUM(H3:H9,H11:H15,H17:H18,H20:H20,H21:H25,H27:H27)</f>
        <v/>
      </c>
      <c r="I28" s="4">
        <f>SUM(I3:I9,I11:I15,I17:I18,I20:I20,I21:I25,I27:I27)</f>
        <v/>
      </c>
      <c r="J28" s="4">
        <f>SUM(J3:J9,J11:J15,J17:J18,J20:J20,J21:J25,J27:J27)</f>
        <v/>
      </c>
      <c r="K28" s="4">
        <f>SUM(K3:K9,K11:K15,K17:K18,K20:K20,K21:K25,K27:K27)</f>
        <v/>
      </c>
      <c r="L28" s="4">
        <f>SUM(L3:L9,L11:L15,L17:L18,L20:L20,L21:L25,L27:L27)</f>
        <v/>
      </c>
      <c r="M28" s="4">
        <f>SUM(M3:M9,M11:M15,M17:M18,M20:M20,M21:M25,M27:M27)</f>
        <v/>
      </c>
    </row>
  </sheetData>
  <mergeCells count="12">
    <mergeCell ref="A26:B26"/>
    <mergeCell ref="A20:B20"/>
    <mergeCell ref="A16:B16"/>
    <mergeCell ref="A1:M1"/>
    <mergeCell ref="A21:A25"/>
    <mergeCell ref="A17:A18"/>
    <mergeCell ref="A3:A9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2026-10-09T04:19:47Z</dcterms:created>
  <dcterms:modified xmlns:dcterms="http://purl.org/dc/terms/" xmlns:xsi="http://www.w3.org/2001/XMLSchema-instance" xsi:type="dcterms:W3CDTF">2026-10-09T08:24:48Z</dcterms:modified>
</cp:coreProperties>
</file>