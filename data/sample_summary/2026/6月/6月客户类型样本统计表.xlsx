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样本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楷体"/>
      <b val="1"/>
      <color rgb="00FFFFFF"/>
      <sz val="20"/>
    </font>
    <font>
      <name val="楷体"/>
      <b val="1"/>
      <color rgb="00FFFFFF"/>
      <sz val="15"/>
    </font>
    <font>
      <name val="楷体"/>
      <b val="1"/>
      <color rgb="00FFFFFF"/>
      <sz val="14"/>
    </font>
    <font>
      <name val="Times New Roman"/>
      <color rgb="00000000"/>
      <sz val="15"/>
    </font>
  </fonts>
  <fills count="4">
    <fill>
      <patternFill/>
    </fill>
    <fill>
      <patternFill patternType="gray125"/>
    </fill>
    <fill>
      <patternFill patternType="solid">
        <fgColor rgb="00B32046"/>
        <bgColor rgb="00B32046"/>
      </patternFill>
    </fill>
    <fill>
      <patternFill patternType="solid">
        <fgColor rgb="00F4E8E8"/>
        <bgColor rgb="00F4E8E8"/>
      </patternFill>
    </fill>
  </fills>
  <borders count="5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1" fontId="4" fillId="3" borderId="1" applyAlignment="1" pivotButton="0" quotePrefix="0" xfId="0">
      <alignment horizontal="center" vertical="center" wrapText="1"/>
    </xf>
    <xf numFmtId="10" fontId="4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10" customWidth="1" min="3" max="3"/>
    <col width="16" customWidth="1" min="4" max="4"/>
    <col width="14" customWidth="1" min="5" max="5"/>
    <col width="10" customWidth="1" min="6" max="6"/>
  </cols>
  <sheetData>
    <row r="1" ht="36" customHeight="1">
      <c r="A1" s="1" t="inlineStr">
        <is>
          <t>杭博客户类型样本统计表</t>
        </is>
      </c>
      <c r="B1" s="1" t="n"/>
      <c r="C1" s="1" t="n"/>
      <c r="D1" s="1" t="n"/>
      <c r="E1" s="1" t="n"/>
      <c r="F1" s="1" t="n"/>
    </row>
    <row r="2" ht="28" customHeight="1">
      <c r="A2" s="2" t="inlineStr">
        <is>
          <t>客户大类</t>
        </is>
      </c>
      <c r="B2" s="2" t="inlineStr">
        <is>
          <t>样本类型</t>
        </is>
      </c>
      <c r="C2" s="2" t="inlineStr">
        <is>
          <t>样本量</t>
        </is>
      </c>
      <c r="D2" s="2" t="inlineStr">
        <is>
          <t>样本进度百分比</t>
        </is>
      </c>
      <c r="E2" s="2" t="inlineStr">
        <is>
          <t>总执行样本量</t>
        </is>
      </c>
      <c r="F2" s="2" t="inlineStr">
        <is>
          <t>6月</t>
        </is>
      </c>
    </row>
    <row r="3" ht="24" customHeight="1">
      <c r="A3" s="3" t="inlineStr">
        <is>
          <t>一、会展客户</t>
        </is>
      </c>
      <c r="B3" s="3" t="inlineStr">
        <is>
          <t>展览活动主（承）办</t>
        </is>
      </c>
      <c r="C3" s="4" t="n">
        <v>38</v>
      </c>
      <c r="D3" s="5">
        <f>IFERROR(E3/C3,0)</f>
        <v/>
      </c>
      <c r="E3" s="4">
        <f>SUM(F3:F3)</f>
        <v/>
      </c>
      <c r="F3" s="4" t="n">
        <v>6</v>
      </c>
    </row>
    <row r="4" ht="24" customHeight="1">
      <c r="A4" s="6" t="n"/>
      <c r="B4" s="3" t="inlineStr">
        <is>
          <t>参展商</t>
        </is>
      </c>
      <c r="C4" s="4" t="n">
        <v>722</v>
      </c>
      <c r="D4" s="5">
        <f>IFERROR(E4/C4,0)</f>
        <v/>
      </c>
      <c r="E4" s="4">
        <f>SUM(F4:F4)</f>
        <v/>
      </c>
      <c r="F4" s="4" t="n">
        <v>88</v>
      </c>
    </row>
    <row r="5" ht="24" customHeight="1">
      <c r="A5" s="6" t="n"/>
      <c r="B5" s="3" t="inlineStr">
        <is>
          <t>专业观众</t>
        </is>
      </c>
      <c r="C5" s="4" t="n">
        <v>930</v>
      </c>
      <c r="D5" s="5">
        <f>IFERROR(E5/C5,0)</f>
        <v/>
      </c>
      <c r="E5" s="4">
        <f>SUM(F5:F5)</f>
        <v/>
      </c>
      <c r="F5" s="4" t="n">
        <v>123</v>
      </c>
    </row>
    <row r="6" ht="24" customHeight="1">
      <c r="A6" s="6" t="n"/>
      <c r="B6" s="3" t="inlineStr">
        <is>
          <t>会展服务商</t>
        </is>
      </c>
      <c r="C6" s="4" t="n">
        <v>38</v>
      </c>
      <c r="D6" s="5">
        <f>IFERROR(E6/C6,0)</f>
        <v/>
      </c>
      <c r="E6" s="4">
        <f>SUM(F6:F6)</f>
        <v/>
      </c>
      <c r="F6" s="4" t="n">
        <v>2</v>
      </c>
    </row>
    <row r="7" ht="24" customHeight="1">
      <c r="A7" s="6" t="n"/>
      <c r="B7" s="3" t="inlineStr">
        <is>
          <t>会议活动主（承）办</t>
        </is>
      </c>
      <c r="C7" s="4" t="n">
        <v>38</v>
      </c>
      <c r="D7" s="5">
        <f>IFERROR(E7/C7,0)</f>
        <v/>
      </c>
      <c r="E7" s="4">
        <f>SUM(F7:F7)</f>
        <v/>
      </c>
      <c r="F7" s="4" t="n">
        <v>4</v>
      </c>
    </row>
    <row r="8" ht="24" customHeight="1">
      <c r="A8" s="6" t="n"/>
      <c r="B8" s="3" t="inlineStr">
        <is>
          <t>参会客户</t>
        </is>
      </c>
      <c r="C8" s="4" t="n">
        <v>930</v>
      </c>
      <c r="D8" s="5">
        <f>IFERROR(E8/C8,0)</f>
        <v/>
      </c>
      <c r="E8" s="4">
        <f>SUM(F8:F8)</f>
        <v/>
      </c>
      <c r="F8" s="4" t="n">
        <v>33</v>
      </c>
    </row>
    <row r="9" ht="24" customHeight="1">
      <c r="A9" s="7" t="n"/>
      <c r="B9" s="3" t="inlineStr">
        <is>
          <t>会展流失主办客户</t>
        </is>
      </c>
      <c r="C9" s="4" t="n">
        <v>38</v>
      </c>
      <c r="D9" s="5">
        <f>IFERROR(E9/C9,0)</f>
        <v/>
      </c>
      <c r="E9" s="4">
        <f>SUM(F9:F9)</f>
        <v/>
      </c>
      <c r="F9" s="4" t="n">
        <v>0</v>
      </c>
    </row>
    <row r="10" ht="24" customHeight="1">
      <c r="A10" s="3" t="inlineStr">
        <is>
          <t>小计</t>
        </is>
      </c>
      <c r="B10" s="3" t="n"/>
      <c r="C10" s="4">
        <f>SUM(C3:C9)</f>
        <v/>
      </c>
      <c r="D10" s="5">
        <f>IFERROR(E10/C10,0)</f>
        <v/>
      </c>
      <c r="E10" s="4">
        <f>SUM(E3:E9)</f>
        <v/>
      </c>
      <c r="F10" s="4">
        <f>SUM(F3:F9)</f>
        <v/>
      </c>
    </row>
    <row r="11" ht="24" customHeight="1">
      <c r="A11" s="3" t="inlineStr">
        <is>
          <t>二、餐饮客户</t>
        </is>
      </c>
      <c r="B11" s="3" t="inlineStr">
        <is>
          <t>商务简餐</t>
        </is>
      </c>
      <c r="C11" s="4" t="n">
        <v>285</v>
      </c>
      <c r="D11" s="5">
        <f>IFERROR(E11/C11,0)</f>
        <v/>
      </c>
      <c r="E11" s="4">
        <f>SUM(F11:F11)</f>
        <v/>
      </c>
      <c r="F11" s="4" t="n">
        <v>18</v>
      </c>
    </row>
    <row r="12" ht="24" customHeight="1">
      <c r="A12" s="6" t="n"/>
      <c r="B12" s="3" t="inlineStr">
        <is>
          <t>特色美食廊</t>
        </is>
      </c>
      <c r="C12" s="4" t="n">
        <v>285</v>
      </c>
      <c r="D12" s="5">
        <f>IFERROR(E12/C12,0)</f>
        <v/>
      </c>
      <c r="E12" s="4">
        <f>SUM(F12:F12)</f>
        <v/>
      </c>
      <c r="F12" s="4" t="n">
        <v>57</v>
      </c>
    </row>
    <row r="13" ht="24" customHeight="1">
      <c r="A13" s="6" t="n"/>
      <c r="B13" s="3" t="inlineStr">
        <is>
          <t>婚宴</t>
        </is>
      </c>
      <c r="C13" s="4" t="n">
        <v>57</v>
      </c>
      <c r="D13" s="5">
        <f>IFERROR(E13/C13,0)</f>
        <v/>
      </c>
      <c r="E13" s="4">
        <f>SUM(F13:F13)</f>
        <v/>
      </c>
      <c r="F13" s="4" t="n">
        <v>22</v>
      </c>
    </row>
    <row r="14" ht="24" customHeight="1">
      <c r="A14" s="6" t="n"/>
      <c r="B14" s="3" t="inlineStr">
        <is>
          <t>自助餐</t>
        </is>
      </c>
      <c r="C14" s="4" t="n">
        <v>152</v>
      </c>
      <c r="D14" s="5">
        <f>IFERROR(E14/C14,0)</f>
        <v/>
      </c>
      <c r="E14" s="4">
        <f>SUM(F14:F14)</f>
        <v/>
      </c>
      <c r="F14" s="4" t="n">
        <v>2</v>
      </c>
    </row>
    <row r="15" ht="24" customHeight="1">
      <c r="A15" s="7" t="n"/>
      <c r="B15" s="3" t="inlineStr">
        <is>
          <t>宴会</t>
        </is>
      </c>
      <c r="C15" s="4" t="n">
        <v>152</v>
      </c>
      <c r="D15" s="5">
        <f>IFERROR(E15/C15,0)</f>
        <v/>
      </c>
      <c r="E15" s="4">
        <f>SUM(F15:F15)</f>
        <v/>
      </c>
      <c r="F15" s="4" t="n">
        <v>0</v>
      </c>
    </row>
    <row r="16" ht="24" customHeight="1">
      <c r="A16" s="3" t="inlineStr">
        <is>
          <t>小计</t>
        </is>
      </c>
      <c r="B16" s="3" t="n"/>
      <c r="C16" s="4">
        <f>SUM(C11:C15)</f>
        <v/>
      </c>
      <c r="D16" s="5">
        <f>IFERROR(E16/C16,0)</f>
        <v/>
      </c>
      <c r="E16" s="4">
        <f>SUM(E11:E15)</f>
        <v/>
      </c>
      <c r="F16" s="4">
        <f>SUM(F11:F15)</f>
        <v/>
      </c>
    </row>
    <row r="17" ht="24" customHeight="1">
      <c r="A17" s="3" t="inlineStr">
        <is>
          <t>三、G20峰会体验馆</t>
        </is>
      </c>
      <c r="B17" s="3" t="inlineStr">
        <is>
          <t>游客</t>
        </is>
      </c>
      <c r="C17" s="4" t="n">
        <v>75</v>
      </c>
      <c r="D17" s="5">
        <f>IFERROR(E17/C17,0)</f>
        <v/>
      </c>
      <c r="E17" s="4">
        <f>SUM(F17:F17)</f>
        <v/>
      </c>
      <c r="F17" s="4" t="n">
        <v>29</v>
      </c>
    </row>
    <row r="18" ht="24" customHeight="1">
      <c r="A18" s="7" t="n"/>
      <c r="B18" s="3" t="inlineStr">
        <is>
          <t>旅行社工作人员</t>
        </is>
      </c>
      <c r="C18" s="4" t="n">
        <v>15</v>
      </c>
      <c r="D18" s="5">
        <f>IFERROR(E18/C18,0)</f>
        <v/>
      </c>
      <c r="E18" s="4">
        <f>SUM(F18:F18)</f>
        <v/>
      </c>
      <c r="F18" s="4" t="n">
        <v>4</v>
      </c>
    </row>
    <row r="19" ht="24" customHeight="1">
      <c r="A19" s="3" t="inlineStr">
        <is>
          <t>小计</t>
        </is>
      </c>
      <c r="B19" s="3" t="n"/>
      <c r="C19" s="4">
        <f>SUM(C17:C18)</f>
        <v/>
      </c>
      <c r="D19" s="5">
        <f>IFERROR(E19/C19,0)</f>
        <v/>
      </c>
      <c r="E19" s="4">
        <f>SUM(E17:E18)</f>
        <v/>
      </c>
      <c r="F19" s="4">
        <f>SUM(F17:F18)</f>
        <v/>
      </c>
    </row>
    <row r="20" ht="24" customHeight="1">
      <c r="A20" s="3" t="inlineStr">
        <is>
          <t>四、专项调研</t>
        </is>
      </c>
      <c r="B20" s="3" t="n"/>
      <c r="C20" s="4" t="n">
        <v>171</v>
      </c>
      <c r="D20" s="5">
        <f>IFERROR(E20/C20,0)</f>
        <v/>
      </c>
      <c r="E20" s="4">
        <f>SUM(F20:F20)</f>
        <v/>
      </c>
      <c r="F20" s="4" t="n">
        <v>0</v>
      </c>
    </row>
    <row r="21" ht="24" customHeight="1">
      <c r="A21" s="3" t="inlineStr">
        <is>
          <t>五、酒店客户</t>
        </is>
      </c>
      <c r="B21" s="3" t="inlineStr">
        <is>
          <t>酒店散客</t>
        </is>
      </c>
      <c r="C21" s="4" t="n">
        <v>100</v>
      </c>
      <c r="D21" s="5">
        <f>IFERROR(E21/C21,0)</f>
        <v/>
      </c>
      <c r="E21" s="4">
        <f>SUM(F21:F21)</f>
        <v/>
      </c>
      <c r="F21" s="4" t="n">
        <v>4</v>
      </c>
    </row>
    <row r="22" ht="24" customHeight="1">
      <c r="A22" s="6" t="n"/>
      <c r="B22" s="3" t="inlineStr">
        <is>
          <t>酒店住宿团队</t>
        </is>
      </c>
      <c r="C22" s="4" t="n">
        <v>150</v>
      </c>
      <c r="D22" s="5">
        <f>IFERROR(E22/C22,0)</f>
        <v/>
      </c>
      <c r="E22" s="4">
        <f>SUM(F22:F22)</f>
        <v/>
      </c>
      <c r="F22" s="4" t="n">
        <v>24</v>
      </c>
    </row>
    <row r="23" ht="24" customHeight="1">
      <c r="A23" s="6" t="n"/>
      <c r="B23" s="3" t="inlineStr">
        <is>
          <t>酒店参会客户</t>
        </is>
      </c>
      <c r="C23" s="4" t="n">
        <v>75</v>
      </c>
      <c r="D23" s="5">
        <f>IFERROR(E23/C23,0)</f>
        <v/>
      </c>
      <c r="E23" s="4">
        <f>SUM(F23:F23)</f>
        <v/>
      </c>
      <c r="F23" s="4" t="n">
        <v>36</v>
      </c>
    </row>
    <row r="24" ht="24" customHeight="1">
      <c r="A24" s="6" t="n"/>
      <c r="B24" s="3" t="inlineStr">
        <is>
          <t>酒店会议主（承）办</t>
        </is>
      </c>
      <c r="C24" s="4" t="n">
        <v>9</v>
      </c>
      <c r="D24" s="5">
        <f>IFERROR(E24/C24,0)</f>
        <v/>
      </c>
      <c r="E24" s="4">
        <f>SUM(F24:F24)</f>
        <v/>
      </c>
      <c r="F24" s="4" t="n">
        <v>4</v>
      </c>
    </row>
    <row r="25" ht="24" customHeight="1">
      <c r="A25" s="7" t="n"/>
      <c r="B25" s="3" t="inlineStr">
        <is>
          <t>酒店餐饮客户</t>
        </is>
      </c>
      <c r="C25" s="4" t="n">
        <v>266</v>
      </c>
      <c r="D25" s="5">
        <f>IFERROR(E25/C25,0)</f>
        <v/>
      </c>
      <c r="E25" s="4">
        <f>SUM(F25:F25)</f>
        <v/>
      </c>
      <c r="F25" s="4" t="n">
        <v>29</v>
      </c>
    </row>
    <row r="26" ht="24" customHeight="1">
      <c r="A26" s="3" t="inlineStr">
        <is>
          <t>小计</t>
        </is>
      </c>
      <c r="B26" s="3" t="n"/>
      <c r="C26" s="4">
        <f>SUM(C21:C25)</f>
        <v/>
      </c>
      <c r="D26" s="5">
        <f>IFERROR(E26/C26,0)</f>
        <v/>
      </c>
      <c r="E26" s="4">
        <f>SUM(E21:E25)</f>
        <v/>
      </c>
      <c r="F26" s="4">
        <f>SUM(F21:F25)</f>
        <v/>
      </c>
    </row>
    <row r="27" ht="24" customHeight="1">
      <c r="A27" s="3" t="inlineStr">
        <is>
          <t>六、酒店暗访（次）</t>
        </is>
      </c>
      <c r="B27" s="3" t="n"/>
      <c r="C27" s="4" t="n">
        <v>4</v>
      </c>
      <c r="D27" s="5">
        <f>IFERROR(E27/C27,0)</f>
        <v/>
      </c>
      <c r="E27" s="4">
        <f>SUM(F27:F27)</f>
        <v/>
      </c>
      <c r="F27" s="4" t="n">
        <v>0</v>
      </c>
    </row>
    <row r="28" ht="28" customHeight="1">
      <c r="A28" s="2" t="inlineStr">
        <is>
          <t>合计</t>
        </is>
      </c>
      <c r="B28" s="2" t="n"/>
      <c r="C28" s="4">
        <f>SUM(C3:C9,C11:C15,C17:C18,C20:C20,C21:C25,C27:C27)</f>
        <v/>
      </c>
      <c r="D28" s="5">
        <f>IFERROR(E28/C28,0)</f>
        <v/>
      </c>
      <c r="E28" s="4">
        <f>SUM(E3:E9,E11:E15,E17:E18,E20:E20,E21:E25,E27:E27)</f>
        <v/>
      </c>
      <c r="F28" s="4">
        <f>SUM(F3:F9,F11:F15,F17:F18,F20:F20,F21:F25,F27:F27)</f>
        <v/>
      </c>
    </row>
  </sheetData>
  <mergeCells count="12">
    <mergeCell ref="A20:B20"/>
    <mergeCell ref="A26:B26"/>
    <mergeCell ref="A16:B16"/>
    <mergeCell ref="A21:A25"/>
    <mergeCell ref="A17:A18"/>
    <mergeCell ref="A3:A9"/>
    <mergeCell ref="A1:F1"/>
    <mergeCell ref="A19:B19"/>
    <mergeCell ref="A10:B10"/>
    <mergeCell ref="A28:B28"/>
    <mergeCell ref="A11:A15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2026-10-11T11:09:41Z</dcterms:created>
  <dcterms:modified xmlns:dcterms="http://purl.org/dc/terms/" xmlns:xsi="http://www.w3.org/2001/XMLSchema-instance" xsi:type="dcterms:W3CDTF">2026-10-11T11:09:41Z</dcterms:modified>
</cp:coreProperties>
</file>