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  <sheet xmlns:r="http://schemas.openxmlformats.org/officeDocument/2006/relationships" name="周期计算" sheetId="2" state="visible" r:id="rId2"/>
    <sheet xmlns:r="http://schemas.openxmlformats.org/officeDocument/2006/relationships" name="权重计算" sheetId="3" state="visible" r:id="rId3"/>
  </sheets>
  <definedNames>
    <definedName name="_xlnm.Print_Titles" localSheetId="0">'汇总表'!$1:$2</definedName>
    <definedName name="_xlnm.Print_Area" localSheetId="0">'汇总表'!$A$1:$K$47</definedName>
    <definedName name="_xlnm._FilterDatabase" localSheetId="1" hidden="1">'周期计算'!$A$1:$P$10</definedName>
    <definedName name="_xlnm.Print_Titles" localSheetId="1">'周期计算'!$1:$1</definedName>
    <definedName name="_xlnm.Print_Area" localSheetId="1">'周期计算'!$A$1:$P$10</definedName>
    <definedName name="_xlnm._FilterDatabase" localSheetId="2" hidden="1">'权重计算'!$A$1:$O$383</definedName>
    <definedName name="_xlnm.Print_Titles" localSheetId="2">'权重计算'!$1:$1</definedName>
    <definedName name="_xlnm.Print_Area" localSheetId="2">'权重计算'!$A$1:$X$383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00"/>
  </numFmts>
  <fonts count="7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  <font>
      <name val="Arial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  <fill>
      <patternFill patternType="solid">
        <fgColor rgb="00B32046"/>
      </patternFill>
    </fill>
  </fills>
  <borders count="9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2" fontId="5" fillId="0" borderId="0" applyAlignment="1" pivotButton="0" quotePrefix="0" xfId="0">
      <alignment vertical="center" wrapText="1"/>
    </xf>
    <xf numFmtId="165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计算口径</author>
  </authors>
  <commentList>
    <comment ref="J2" authorId="0" shapeId="0">
      <text>
        <t>类型行列示该类型的舍入差额；总分行列示类型舍入贡献与周期舍入贡献之和。</t>
      </text>
    </comment>
    <comment ref="J22" authorId="0" shapeId="0">
      <text>
        <t>类型舍入贡献之和 + 周期舍入贡献之和。详见周期计算及权重计算工作表。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dimension ref="A1:K4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9.33203125" customWidth="1" min="2" max="2"/>
    <col width="18.1640625" customWidth="1" min="3" max="3"/>
    <col width="18.1640625" customWidth="1" min="4" max="4"/>
    <col width="18.1640625" customWidth="1" min="5" max="5"/>
    <col width="18.1640625" customWidth="1" min="6" max="6"/>
    <col width="18.1640625" customWidth="1" min="7" max="7"/>
    <col width="18.1640625" customWidth="1" min="8" max="8"/>
    <col width="22" customWidth="1" min="9" max="9"/>
    <col width="22" customWidth="1" min="10" max="10"/>
    <col width="22" customWidth="1" min="11" max="11"/>
  </cols>
  <sheetData>
    <row r="1" ht="42" customHeight="1">
      <c r="A1" s="1" t="inlineStr">
        <is>
          <t>2026年1-9月客户类型满意度多周期汇总表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J1" s="3" t="n"/>
      <c r="K1" s="4" t="n"/>
    </row>
    <row r="2" ht="42" customHeight="1">
      <c r="A2" s="5" t="inlineStr">
        <is>
          <t>样本类型</t>
        </is>
      </c>
      <c r="B2" s="5" t="n"/>
      <c r="C2" s="5" t="inlineStr">
        <is>
          <t>总分</t>
        </is>
      </c>
      <c r="D2" s="5" t="inlineStr">
        <is>
          <t>产品服务</t>
        </is>
      </c>
      <c r="E2" s="5" t="inlineStr">
        <is>
          <t>硬件设施</t>
        </is>
      </c>
      <c r="F2" s="5" t="inlineStr">
        <is>
          <t>配套服务</t>
        </is>
      </c>
      <c r="G2" s="5" t="inlineStr">
        <is>
          <t>智慧场馆/服务</t>
        </is>
      </c>
      <c r="H2" s="5" t="inlineStr">
        <is>
          <t>餐饮服务</t>
        </is>
      </c>
      <c r="I2" s="5" t="inlineStr">
        <is>
          <t>类型权重</t>
        </is>
      </c>
      <c r="J2" s="5" t="inlineStr">
        <is>
          <t>舍入差额</t>
        </is>
      </c>
      <c r="K2" s="5" t="inlineStr">
        <is>
          <t>餐饮计分口径</t>
        </is>
      </c>
    </row>
    <row r="3" ht="24" customHeight="1">
      <c r="A3" s="6" t="inlineStr">
        <is>
          <t>一、会展客户</t>
        </is>
      </c>
      <c r="B3" s="6" t="inlineStr">
        <is>
          <t>展览活动主（承）办</t>
        </is>
      </c>
      <c r="C3" s="7">
        <f>IF(I3=0,"",SUMIFS('权重计算'!$W$2:$W$119,'权重计算'!$R$2:$R$119,$B3)/I3)</f>
        <v>9.590368061328164</v>
      </c>
      <c r="D3" s="7">
        <f>SUMIFS('权重计算'!$O$2:$O$383,'权重计算'!$C$2:$C$383,$B3,'权重计算'!$F$2:$F$383,D$2)/SUMIFS('权重计算'!$N$2:$N$383,'权重计算'!$C$2:$C$383,$B3,'权重计算'!$F$2:$F$383,D$2)</f>
        <v>9.782664686755934</v>
      </c>
      <c r="E3" s="7">
        <f>SUMIFS('权重计算'!$O$2:$O$383,'权重计算'!$C$2:$C$383,$B3,'权重计算'!$F$2:$F$383,E$2)/SUMIFS('权重计算'!$N$2:$N$383,'权重计算'!$C$2:$C$383,$B3,'权重计算'!$F$2:$F$383,E$2)</f>
        <v>9.533364653472951</v>
      </c>
      <c r="F3" s="7">
        <f>SUMIFS('权重计算'!$O$2:$O$383,'权重计算'!$C$2:$C$383,$B3,'权重计算'!$F$2:$F$383,F$2)/SUMIFS('权重计算'!$N$2:$N$383,'权重计算'!$C$2:$C$383,$B3,'权重计算'!$F$2:$F$383,F$2)</f>
        <v>9.607871169256764</v>
      </c>
      <c r="G3" s="7">
        <f>SUMIFS('权重计算'!$O$2:$O$383,'权重计算'!$C$2:$C$383,$B3,'权重计算'!$F$2:$F$383,G$2)/SUMIFS('权重计算'!$N$2:$N$383,'权重计算'!$C$2:$C$383,$B3,'权重计算'!$F$2:$F$383,G$2)</f>
        <v>9.09802306425041</v>
      </c>
      <c r="H3" s="7">
        <f>SUMIFS('权重计算'!$O$2:$O$383,'权重计算'!$C$2:$C$383,$B3,'权重计算'!$F$2:$F$383,H$2)/SUMIFS('权重计算'!$N$2:$N$383,'权重计算'!$C$2:$C$383,$B3,'权重计算'!$F$2:$F$383,H$2)</f>
        <v>9.145918491484185</v>
      </c>
      <c r="I3" s="8">
        <f>SUMIFS('权重计算'!$V$2:$V$119,'权重计算'!$R$2:$R$119,$B3)</f>
        <v>0.06892666157372039</v>
      </c>
      <c r="J3" s="9">
        <f>IF(I3=0,"",SUMIFS('权重计算'!$X$2:$X$119,'权重计算'!$R$2:$R$119,$B3)/I3)</f>
        <v>0.002369462147101972</v>
      </c>
      <c r="K3" s="10" t="inlineStr">
        <is>
          <t>配套子项，不另计分</t>
        </is>
      </c>
    </row>
    <row r="4" ht="24" customHeight="1">
      <c r="A4" s="11" t="n"/>
      <c r="B4" s="6" t="inlineStr">
        <is>
          <t>参展商</t>
        </is>
      </c>
      <c r="C4" s="7">
        <f>IF(I4=0,"",SUMIFS('权重计算'!$W$2:$W$119,'权重计算'!$R$2:$R$119,$B4)/I4)</f>
        <v>9.614034358548075</v>
      </c>
      <c r="D4" s="7">
        <f>SUMIFS('权重计算'!$O$2:$O$383,'权重计算'!$C$2:$C$383,$B4,'权重计算'!$F$2:$F$383,D$2)/SUMIFS('权重计算'!$N$2:$N$383,'权重计算'!$C$2:$C$383,$B4,'权重计算'!$F$2:$F$383,D$2)</f>
        <v>9.916048490055003</v>
      </c>
      <c r="E4" s="7">
        <f>SUMIFS('权重计算'!$O$2:$O$383,'权重计算'!$C$2:$C$383,$B4,'权重计算'!$F$2:$F$383,E$2)/SUMIFS('权重计算'!$N$2:$N$383,'权重计算'!$C$2:$C$383,$B4,'权重计算'!$F$2:$F$383,E$2)</f>
        <v>9.261598119578576</v>
      </c>
      <c r="F4" s="7">
        <f>SUMIFS('权重计算'!$O$2:$O$383,'权重计算'!$C$2:$C$383,$B4,'权重计算'!$F$2:$F$383,F$2)/SUMIFS('权重计算'!$N$2:$N$383,'权重计算'!$C$2:$C$383,$B4,'权重计算'!$F$2:$F$383,F$2)</f>
        <v>9.685987161589766</v>
      </c>
      <c r="G4" s="7">
        <f>SUMIFS('权重计算'!$O$2:$O$383,'权重计算'!$C$2:$C$383,$B4,'权重计算'!$F$2:$F$383,G$2)/SUMIFS('权重计算'!$N$2:$N$383,'权重计算'!$C$2:$C$383,$B4,'权重计算'!$F$2:$F$383,G$2)</f>
        <v>9.42</v>
      </c>
      <c r="H4" s="7">
        <f>SUMIFS('权重计算'!$O$2:$O$383,'权重计算'!$C$2:$C$383,$B4,'权重计算'!$F$2:$F$383,H$2)/SUMIFS('权重计算'!$N$2:$N$383,'权重计算'!$C$2:$C$383,$B4,'权重计算'!$F$2:$F$383,H$2)</f>
        <v>9.057896924355777</v>
      </c>
      <c r="I4" s="8">
        <f>SUMIFS('权重计算'!$V$2:$V$119,'权重计算'!$R$2:$R$119,$B4)</f>
        <v>0.06892666157372039</v>
      </c>
      <c r="J4" s="9">
        <f>IF(I4=0,"",SUMIFS('权重计算'!$X$2:$X$119,'权重计算'!$R$2:$R$119,$B4)/I4)</f>
        <v>-0.000660809396261815</v>
      </c>
      <c r="K4" s="10" t="inlineStr">
        <is>
          <t>配套子项，不另计分</t>
        </is>
      </c>
    </row>
    <row r="5" ht="24" customHeight="1">
      <c r="A5" s="11" t="n"/>
      <c r="B5" s="6" t="inlineStr">
        <is>
          <t>专业观众</t>
        </is>
      </c>
      <c r="C5" s="7">
        <f>IF(I5=0,"",SUMIFS('权重计算'!$W$2:$W$119,'权重计算'!$R$2:$R$119,$B5)/I5)</f>
        <v>9.690235522305349</v>
      </c>
      <c r="D5" s="7">
        <f>SUMIFS('权重计算'!$O$2:$O$383,'权重计算'!$C$2:$C$383,$B5,'权重计算'!$F$2:$F$383,D$2)/SUMIFS('权重计算'!$N$2:$N$383,'权重计算'!$C$2:$C$383,$B5,'权重计算'!$F$2:$F$383,D$2)</f>
        <v>9.99573288999723</v>
      </c>
      <c r="E5" s="7">
        <f>SUMIFS('权重计算'!$O$2:$O$383,'权重计算'!$C$2:$C$383,$B5,'权重计算'!$F$2:$F$383,E$2)/SUMIFS('权重计算'!$N$2:$N$383,'权重计算'!$C$2:$C$383,$B5,'权重计算'!$F$2:$F$383,E$2)</f>
        <v>9.444598226655584</v>
      </c>
      <c r="F5" s="7">
        <f>SUMIFS('权重计算'!$O$2:$O$383,'权重计算'!$C$2:$C$383,$B5,'权重计算'!$F$2:$F$383,F$2)/SUMIFS('权重计算'!$N$2:$N$383,'权重计算'!$C$2:$C$383,$B5,'权重计算'!$F$2:$F$383,F$2)</f>
        <v>9.634757088759583</v>
      </c>
      <c r="G5" s="7" t="n"/>
      <c r="H5" s="7">
        <f>SUMIFS('权重计算'!$O$2:$O$383,'权重计算'!$C$2:$C$383,$B5,'权重计算'!$F$2:$F$383,H$2)/SUMIFS('权重计算'!$N$2:$N$383,'权重计算'!$C$2:$C$383,$B5,'权重计算'!$F$2:$F$383,H$2)</f>
        <v>9.013748037314123</v>
      </c>
      <c r="I5" s="8">
        <f>SUMIFS('权重计算'!$V$2:$V$119,'权重计算'!$R$2:$R$119,$B5)</f>
        <v>0.06892666157372039</v>
      </c>
      <c r="J5" s="9">
        <f>IF(I5=0,"",SUMIFS('权重计算'!$X$2:$X$119,'权重计算'!$R$2:$R$119,$B5)/I5)</f>
        <v>-0.001460546165450292</v>
      </c>
      <c r="K5" s="10" t="inlineStr">
        <is>
          <t>配套子项，不另计分</t>
        </is>
      </c>
    </row>
    <row r="6" ht="24" customHeight="1">
      <c r="A6" s="11" t="n"/>
      <c r="B6" s="6" t="inlineStr">
        <is>
          <t>会展服务商</t>
        </is>
      </c>
      <c r="C6" s="7">
        <f>IF(I6=0,"",SUMIFS('权重计算'!$W$2:$W$119,'权重计算'!$R$2:$R$119,$B6)/I6)</f>
        <v>9.880431873479319</v>
      </c>
      <c r="D6" s="7">
        <f>SUMIFS('权重计算'!$O$2:$O$383,'权重计算'!$C$2:$C$383,$B6,'权重计算'!$F$2:$F$383,D$2)/SUMIFS('权重计算'!$N$2:$N$383,'权重计算'!$C$2:$C$383,$B6,'权重计算'!$F$2:$F$383,D$2)</f>
        <v>9.949587374650665</v>
      </c>
      <c r="E6" s="7">
        <f>SUMIFS('权重计算'!$O$2:$O$383,'权重计算'!$C$2:$C$383,$B6,'权重计算'!$F$2:$F$383,E$2)/SUMIFS('权重计算'!$N$2:$N$383,'权重计算'!$C$2:$C$383,$B6,'权重计算'!$F$2:$F$383,E$2)</f>
        <v>9.811742561236231</v>
      </c>
      <c r="F6" s="7">
        <f>SUMIFS('权重计算'!$O$2:$O$383,'权重计算'!$C$2:$C$383,$B6,'权重计算'!$F$2:$F$383,F$2)/SUMIFS('权重计算'!$N$2:$N$383,'权重计算'!$C$2:$C$383,$B6,'权重计算'!$F$2:$F$383,F$2)</f>
        <v>9.889528193325662</v>
      </c>
      <c r="G6" s="7">
        <f>SUMIFS('权重计算'!$O$2:$O$383,'权重计算'!$C$2:$C$383,$B6,'权重计算'!$F$2:$F$383,G$2)/SUMIFS('权重计算'!$N$2:$N$383,'权重计算'!$C$2:$C$383,$B6,'权重计算'!$F$2:$F$383,G$2)</f>
        <v>9.840689655172412</v>
      </c>
      <c r="H6" s="7">
        <f>SUMIFS('权重计算'!$O$2:$O$383,'权重计算'!$C$2:$C$383,$B6,'权重计算'!$F$2:$F$383,H$2)/SUMIFS('权重计算'!$N$2:$N$383,'权重计算'!$C$2:$C$383,$B6,'权重计算'!$F$2:$F$383,H$2)</f>
        <v>9.645164233576642</v>
      </c>
      <c r="I6" s="8">
        <f>SUMIFS('权重计算'!$V$2:$V$119,'权重计算'!$R$2:$R$119,$B6)</f>
        <v>0.05756302521008402</v>
      </c>
      <c r="J6" s="9">
        <f>IF(I6=0,"",SUMIFS('权重计算'!$X$2:$X$119,'权重计算'!$R$2:$R$119,$B6)/I6)</f>
        <v>3.092051905921923e-05</v>
      </c>
      <c r="K6" s="10" t="inlineStr">
        <is>
          <t>配套子项，不另计分</t>
        </is>
      </c>
    </row>
    <row r="7" ht="24" customHeight="1">
      <c r="A7" s="11" t="n"/>
      <c r="B7" s="6" t="inlineStr">
        <is>
          <t>会议活动主（承）办</t>
        </is>
      </c>
      <c r="C7" s="7">
        <f>IF(I7=0,"",SUMIFS('权重计算'!$W$2:$W$119,'权重计算'!$R$2:$R$119,$B7)/I7)</f>
        <v>9.691173455250762</v>
      </c>
      <c r="D7" s="7">
        <f>SUMIFS('权重计算'!$O$2:$O$383,'权重计算'!$C$2:$C$383,$B7,'权重计算'!$F$2:$F$383,D$2)/SUMIFS('权重计算'!$N$2:$N$383,'权重计算'!$C$2:$C$383,$B7,'权重计算'!$F$2:$F$383,D$2)</f>
        <v>9.912385184114829</v>
      </c>
      <c r="E7" s="7">
        <f>SUMIFS('权重计算'!$O$2:$O$383,'权重计算'!$C$2:$C$383,$B7,'权重计算'!$F$2:$F$383,E$2)/SUMIFS('权重计算'!$N$2:$N$383,'权重计算'!$C$2:$C$383,$B7,'权重计算'!$F$2:$F$383,E$2)</f>
        <v>9.545997158201478</v>
      </c>
      <c r="F7" s="7">
        <f>SUMIFS('权重计算'!$O$2:$O$383,'权重计算'!$C$2:$C$383,$B7,'权重计算'!$F$2:$F$383,F$2)/SUMIFS('权重计算'!$N$2:$N$383,'权重计算'!$C$2:$C$383,$B7,'权重计算'!$F$2:$F$383,F$2)</f>
        <v>9.709437661055318</v>
      </c>
      <c r="G7" s="7">
        <f>SUMIFS('权重计算'!$O$2:$O$383,'权重计算'!$C$2:$C$383,$B7,'权重计算'!$F$2:$F$383,G$2)/SUMIFS('权重计算'!$N$2:$N$383,'权重计算'!$C$2:$C$383,$B7,'权重计算'!$F$2:$F$383,G$2)</f>
        <v>9.0</v>
      </c>
      <c r="H7" s="7">
        <f>SUMIFS('权重计算'!$O$2:$O$383,'权重计算'!$C$2:$C$383,$B7,'权重计算'!$F$2:$F$383,H$2)/SUMIFS('权重计算'!$N$2:$N$383,'权重计算'!$C$2:$C$383,$B7,'权重计算'!$F$2:$F$383,H$2)</f>
        <v>9.093188787291032</v>
      </c>
      <c r="I7" s="8">
        <f>SUMIFS('权重计算'!$V$2:$V$119,'权重计算'!$R$2:$R$119,$B7)</f>
        <v>0.06892666157372039</v>
      </c>
      <c r="J7" s="9">
        <f>IF(I7=0,"",SUMIFS('权重计算'!$X$2:$X$119,'权重计算'!$R$2:$R$119,$B7)/I7)</f>
        <v>-0.0016499645946853768</v>
      </c>
      <c r="K7" s="10" t="inlineStr">
        <is>
          <t>配套子项，不另计分</t>
        </is>
      </c>
    </row>
    <row r="8" ht="24" customHeight="1">
      <c r="A8" s="12" t="n"/>
      <c r="B8" s="6" t="inlineStr">
        <is>
          <t>参会客户</t>
        </is>
      </c>
      <c r="C8" s="7">
        <f>IF(I8=0,"",SUMIFS('权重计算'!$W$2:$W$119,'权重计算'!$R$2:$R$119,$B8)/I8)</f>
        <v>9.785979627566448</v>
      </c>
      <c r="D8" s="7">
        <f>SUMIFS('权重计算'!$O$2:$O$383,'权重计算'!$C$2:$C$383,$B8,'权重计算'!$F$2:$F$383,D$2)/SUMIFS('权重计算'!$N$2:$N$383,'权重计算'!$C$2:$C$383,$B8,'权重计算'!$F$2:$F$383,D$2)</f>
        <v>9.991858984561516</v>
      </c>
      <c r="E8" s="7">
        <f>SUMIFS('权重计算'!$O$2:$O$383,'权重计算'!$C$2:$C$383,$B8,'权重计算'!$F$2:$F$383,E$2)/SUMIFS('权重计算'!$N$2:$N$383,'权重计算'!$C$2:$C$383,$B8,'权重计算'!$F$2:$F$383,E$2)</f>
        <v>9.545510106636957</v>
      </c>
      <c r="F8" s="7">
        <f>SUMIFS('权重计算'!$O$2:$O$383,'权重计算'!$C$2:$C$383,$B8,'权重计算'!$F$2:$F$383,F$2)/SUMIFS('权重计算'!$N$2:$N$383,'权重计算'!$C$2:$C$383,$B8,'权重计算'!$F$2:$F$383,F$2)</f>
        <v>9.822726404583799</v>
      </c>
      <c r="G8" s="7" t="n"/>
      <c r="H8" s="7">
        <f>SUMIFS('权重计算'!$O$2:$O$383,'权重计算'!$C$2:$C$383,$B8,'权重计算'!$F$2:$F$383,H$2)/SUMIFS('权重计算'!$N$2:$N$383,'权重计算'!$C$2:$C$383,$B8,'权重计算'!$F$2:$F$383,H$2)</f>
        <v>9.482683431481776</v>
      </c>
      <c r="I8" s="8">
        <f>SUMIFS('权重计算'!$V$2:$V$119,'权重计算'!$R$2:$R$119,$B8)</f>
        <v>0.059998090145148966</v>
      </c>
      <c r="J8" s="9">
        <f>IF(I8=0,"",SUMIFS('权重计算'!$X$2:$X$119,'权重计算'!$R$2:$R$119,$B8)/I8)</f>
        <v>-0.0007188710276402529</v>
      </c>
      <c r="K8" s="10" t="inlineStr">
        <is>
          <t>配套子项，不另计分</t>
        </is>
      </c>
    </row>
    <row r="9" ht="24" customHeight="1">
      <c r="A9" s="6" t="inlineStr">
        <is>
          <t>二、餐饮客户</t>
        </is>
      </c>
      <c r="B9" s="6" t="inlineStr">
        <is>
          <t>商务简餐</t>
        </is>
      </c>
      <c r="C9" s="7">
        <f>IF(I9=0,"",SUMIFS('权重计算'!$W$2:$W$119,'权重计算'!$R$2:$R$119,$B9)/I9)</f>
        <v>9.592567654936731</v>
      </c>
      <c r="D9" s="7" t="inlineStr">
        <is>
          <t>--</t>
        </is>
      </c>
      <c r="E9" s="7">
        <f>SUMIFS('权重计算'!$O$2:$O$383,'权重计算'!$C$2:$C$383,$B9,'权重计算'!$F$2:$F$383,E$2)/SUMIFS('权重计算'!$N$2:$N$383,'权重计算'!$C$2:$C$383,$B9,'权重计算'!$F$2:$F$383,E$2)</f>
        <v>9.299636051584756</v>
      </c>
      <c r="F9" s="7" t="inlineStr">
        <is>
          <t>--</t>
        </is>
      </c>
      <c r="G9" s="7">
        <f>SUMIFS('权重计算'!$O$2:$O$383,'权重计算'!$C$2:$C$383,$B9,'权重计算'!$F$2:$F$383,G$2)/SUMIFS('权重计算'!$N$2:$N$383,'权重计算'!$C$2:$C$383,$B9,'权重计算'!$F$2:$F$383,G$2)</f>
        <v>9.63</v>
      </c>
      <c r="H9" s="7">
        <f>SUMIFS('权重计算'!$O$2:$O$383,'权重计算'!$C$2:$C$383,$B9,'权重计算'!$F$2:$F$383,H$2)/SUMIFS('权重计算'!$N$2:$N$383,'权重计算'!$C$2:$C$383,$B9,'权重计算'!$F$2:$F$383,H$2)</f>
        <v>9.87826623251636</v>
      </c>
      <c r="I9" s="8">
        <f>SUMIFS('权重计算'!$V$2:$V$119,'权重计算'!$R$2:$R$119,$B9)</f>
        <v>0.06892666157372039</v>
      </c>
      <c r="J9" s="9">
        <f>IF(I9=0,"",SUMIFS('权重计算'!$X$2:$X$119,'权重计算'!$R$2:$R$119,$B9)/I9)</f>
        <v>0.001962224069455662</v>
      </c>
      <c r="K9" s="10" t="inlineStr">
        <is>
          <t>一级指标</t>
        </is>
      </c>
    </row>
    <row r="10" ht="24" customHeight="1">
      <c r="A10" s="11" t="n"/>
      <c r="B10" s="6" t="inlineStr">
        <is>
          <t>特色美食廊</t>
        </is>
      </c>
      <c r="C10" s="7">
        <f>IF(I10=0,"",SUMIFS('权重计算'!$W$2:$W$119,'权重计算'!$R$2:$R$119,$B10)/I10)</f>
        <v>9.457007299270074</v>
      </c>
      <c r="D10" s="7" t="inlineStr">
        <is>
          <t>--</t>
        </is>
      </c>
      <c r="E10" s="7">
        <f>SUMIFS('权重计算'!$O$2:$O$383,'权重计算'!$C$2:$C$383,$B10,'权重计算'!$F$2:$F$383,E$2)/SUMIFS('权重计算'!$N$2:$N$383,'权重计算'!$C$2:$C$383,$B10,'权重计算'!$F$2:$F$383,E$2)</f>
        <v>9.381817977021852</v>
      </c>
      <c r="F10" s="7" t="inlineStr">
        <is>
          <t>--</t>
        </is>
      </c>
      <c r="G10" s="7">
        <f>SUMIFS('权重计算'!$O$2:$O$383,'权重计算'!$C$2:$C$383,$B10,'权重计算'!$F$2:$F$383,G$2)/SUMIFS('权重计算'!$N$2:$N$383,'权重计算'!$C$2:$C$383,$B10,'权重计算'!$F$2:$F$383,G$2)</f>
        <v>10.0</v>
      </c>
      <c r="H10" s="7">
        <f>SUMIFS('权重计算'!$O$2:$O$383,'权重计算'!$C$2:$C$383,$B10,'权重计算'!$F$2:$F$383,H$2)/SUMIFS('权重计算'!$N$2:$N$383,'权重计算'!$C$2:$C$383,$B10,'权重计算'!$F$2:$F$383,H$2)</f>
        <v>9.40740932642487</v>
      </c>
      <c r="I10" s="8">
        <f>SUMIFS('权重计算'!$V$2:$V$119,'权重计算'!$R$2:$R$119,$B10)</f>
        <v>0.05756302521008402</v>
      </c>
      <c r="J10" s="9">
        <f>IF(I10=0,"",SUMIFS('权重计算'!$X$2:$X$119,'权重计算'!$R$2:$R$119,$B10)/I10)</f>
        <v>0.0018795620437954306</v>
      </c>
      <c r="K10" s="10" t="inlineStr">
        <is>
          <t>一级指标</t>
        </is>
      </c>
    </row>
    <row r="11" ht="24" customHeight="1">
      <c r="A11" s="11" t="n"/>
      <c r="B11" s="6" t="inlineStr">
        <is>
          <t>婚宴</t>
        </is>
      </c>
      <c r="C11" s="7">
        <f>IF(I11=0,"",SUMIFS('权重计算'!$W$2:$W$119,'权重计算'!$R$2:$R$119,$B11)/I11)</f>
        <v>9.471248630887185</v>
      </c>
      <c r="D11" s="7" t="inlineStr">
        <is>
          <t>--</t>
        </is>
      </c>
      <c r="E11" s="7">
        <f>SUMIFS('权重计算'!$O$2:$O$383,'权重计算'!$C$2:$C$383,$B11,'权重计算'!$F$2:$F$383,E$2)/SUMIFS('权重计算'!$N$2:$N$383,'权重计算'!$C$2:$C$383,$B11,'权重计算'!$F$2:$F$383,E$2)</f>
        <v>9.16157721796276</v>
      </c>
      <c r="F11" s="7" t="inlineStr">
        <is>
          <t>--</t>
        </is>
      </c>
      <c r="G11" s="7" t="n"/>
      <c r="H11" s="7">
        <f>SUMIFS('权重计算'!$O$2:$O$383,'权重计算'!$C$2:$C$383,$B11,'权重计算'!$F$2:$F$383,H$2)/SUMIFS('权重计算'!$N$2:$N$383,'权重计算'!$C$2:$C$383,$B11,'权重计算'!$F$2:$F$383,H$2)</f>
        <v>9.77552026286966</v>
      </c>
      <c r="I11" s="8">
        <f>SUMIFS('权重计算'!$V$2:$V$119,'权重计算'!$R$2:$R$119,$B11)</f>
        <v>0.031967787114845936</v>
      </c>
      <c r="J11" s="9">
        <f>IF(I11=0,"",SUMIFS('权重计算'!$X$2:$X$119,'权重计算'!$R$2:$R$119,$B11)/I11)</f>
        <v>0.002699890470975639</v>
      </c>
      <c r="K11" s="10" t="inlineStr">
        <is>
          <t>一级指标</t>
        </is>
      </c>
    </row>
    <row r="12" ht="24" customHeight="1">
      <c r="A12" s="11" t="n"/>
      <c r="B12" s="6" t="inlineStr">
        <is>
          <t>自助餐</t>
        </is>
      </c>
      <c r="C12" s="7">
        <f>IF(I12=0,"",SUMIFS('权重计算'!$W$2:$W$119,'权重计算'!$R$2:$R$119,$B12)/I12)</f>
        <v>9.613168207606641</v>
      </c>
      <c r="D12" s="7" t="inlineStr">
        <is>
          <t>--</t>
        </is>
      </c>
      <c r="E12" s="7">
        <f>SUMIFS('权重计算'!$O$2:$O$383,'权重计算'!$C$2:$C$383,$B12,'权重计算'!$F$2:$F$383,E$2)/SUMIFS('权重计算'!$N$2:$N$383,'权重计算'!$C$2:$C$383,$B12,'权重计算'!$F$2:$F$383,E$2)</f>
        <v>9.429954297121244</v>
      </c>
      <c r="F12" s="7" t="inlineStr">
        <is>
          <t>--</t>
        </is>
      </c>
      <c r="G12" s="7" t="n"/>
      <c r="H12" s="7">
        <f>SUMIFS('权重计算'!$O$2:$O$383,'权重计算'!$C$2:$C$383,$B12,'权重计算'!$F$2:$F$383,H$2)/SUMIFS('权重计算'!$N$2:$N$383,'权重计算'!$C$2:$C$383,$B12,'权重计算'!$F$2:$F$383,H$2)</f>
        <v>9.793793338936752</v>
      </c>
      <c r="I12" s="8">
        <f>SUMIFS('权重计算'!$V$2:$V$119,'权重计算'!$R$2:$R$119,$B12)</f>
        <v>0.06059332824038706</v>
      </c>
      <c r="J12" s="9">
        <f>IF(I12=0,"",SUMIFS('权重计算'!$X$2:$X$119,'权重计算'!$R$2:$R$119,$B12)/I12)</f>
        <v>0.0012943895776425642</v>
      </c>
      <c r="K12" s="10" t="inlineStr">
        <is>
          <t>一级指标</t>
        </is>
      </c>
    </row>
    <row r="13" ht="24" customHeight="1">
      <c r="A13" s="12" t="n"/>
      <c r="B13" s="6" t="inlineStr">
        <is>
          <t>宴会</t>
        </is>
      </c>
      <c r="C13" s="7">
        <f>IF(I13=0,"",SUMIFS('权重计算'!$W$2:$W$119,'权重计算'!$R$2:$R$119,$B13)/I13)</f>
        <v>9.757246952083925</v>
      </c>
      <c r="D13" s="7" t="inlineStr">
        <is>
          <t>--</t>
        </is>
      </c>
      <c r="E13" s="7">
        <f>SUMIFS('权重计算'!$O$2:$O$383,'权重计算'!$C$2:$C$383,$B13,'权重计算'!$F$2:$F$383,E$2)/SUMIFS('权重计算'!$N$2:$N$383,'权重计算'!$C$2:$C$383,$B13,'权重计算'!$F$2:$F$383,E$2)</f>
        <v>9.597022965693224</v>
      </c>
      <c r="F13" s="7" t="inlineStr">
        <is>
          <t>--</t>
        </is>
      </c>
      <c r="G13" s="7" t="n"/>
      <c r="H13" s="7">
        <f>SUMIFS('权重计算'!$O$2:$O$383,'权重计算'!$C$2:$C$383,$B13,'权重计算'!$F$2:$F$383,H$2)/SUMIFS('权重计算'!$N$2:$N$383,'权重计算'!$C$2:$C$383,$B13,'权重计算'!$F$2:$F$383,H$2)</f>
        <v>9.913845335979588</v>
      </c>
      <c r="I13" s="8">
        <f>SUMIFS('权重计算'!$V$2:$V$119,'权重计算'!$R$2:$R$119,$B13)</f>
        <v>0.04490705373058314</v>
      </c>
      <c r="J13" s="9">
        <f>IF(I13=0,"",SUMIFS('权重计算'!$X$2:$X$119,'权重计算'!$R$2:$R$119,$B13)/I13)</f>
        <v>0.0018128012475187153</v>
      </c>
      <c r="K13" s="10" t="inlineStr">
        <is>
          <t>一级指标</t>
        </is>
      </c>
    </row>
    <row r="14" ht="24" customHeight="1">
      <c r="A14" s="6" t="inlineStr">
        <is>
          <r>
            <rPr>
              <rFont val="楷体"/>
              <b val="1"/>
              <color rgb="00FFFFFF"/>
              <sz val="14"/>
            </rPr>
            <t>三、</t>
          </r>
          <r>
            <rPr>
              <rFont val="Times New Roman"/>
              <b val="1"/>
              <color rgb="00FFFFFF"/>
              <sz val="14"/>
            </rPr>
            <t>G20</t>
          </r>
          <r>
            <rPr>
              <rFont val="楷体"/>
              <b val="1"/>
              <color rgb="00FFFFFF"/>
              <sz val="14"/>
            </rPr>
            <t>峰会体验馆</t>
          </r>
        </is>
      </c>
      <c r="B14" s="6" t="inlineStr">
        <is>
          <t>游客</t>
        </is>
      </c>
      <c r="C14" s="7">
        <f>IF(I14=0,"",SUMIFS('权重计算'!$W$2:$W$119,'权重计算'!$R$2:$R$119,$B14)/I14)</f>
        <v>9.818214542836573</v>
      </c>
      <c r="D14" s="7">
        <f>SUMIFS('权重计算'!$O$2:$O$383,'权重计算'!$C$2:$C$383,$B14,'权重计算'!$F$2:$F$383,D$2)/SUMIFS('权重计算'!$N$2:$N$383,'权重计算'!$C$2:$C$383,$B14,'权重计算'!$F$2:$F$383,D$2)</f>
        <v>9.969861963190183</v>
      </c>
      <c r="E14" s="7">
        <f>SUMIFS('权重计算'!$O$2:$O$383,'权重计算'!$C$2:$C$383,$B14,'权重计算'!$F$2:$F$383,E$2)/SUMIFS('权重计算'!$N$2:$N$383,'权重计算'!$C$2:$C$383,$B14,'权重计算'!$F$2:$F$383,E$2)</f>
        <v>9.898650306748467</v>
      </c>
      <c r="F14" s="7" t="inlineStr">
        <is>
          <t>--</t>
        </is>
      </c>
      <c r="G14" s="7">
        <f>SUMIFS('权重计算'!$O$2:$O$383,'权重计算'!$C$2:$C$383,$B14,'权重计算'!$F$2:$F$383,G$2)/SUMIFS('权重计算'!$N$2:$N$383,'权重计算'!$C$2:$C$383,$B14,'权重计算'!$F$2:$F$383,G$2)</f>
        <v>8.0</v>
      </c>
      <c r="H14" s="7" t="inlineStr">
        <is>
          <t>--</t>
        </is>
      </c>
      <c r="I14" s="8">
        <f>SUMIFS('权重计算'!$V$2:$V$119,'权重计算'!$R$2:$R$119,$B14)</f>
        <v>0.0486344537815126</v>
      </c>
      <c r="J14" s="9">
        <f>IF(I14=0,"",SUMIFS('权重计算'!$X$2:$X$119,'权重计算'!$R$2:$R$119,$B14)/I14)</f>
        <v>0.0023254139668830135</v>
      </c>
      <c r="K14" s="10" t="inlineStr">
        <is>
          <t>--</t>
        </is>
      </c>
    </row>
    <row r="15" ht="24" customHeight="1">
      <c r="A15" s="12" t="n"/>
      <c r="B15" s="6" t="inlineStr">
        <is>
          <t>旅行社工作人员</t>
        </is>
      </c>
      <c r="C15" s="7">
        <f>IF(I15=0,"",SUMIFS('权重计算'!$W$2:$W$119,'权重计算'!$R$2:$R$119,$B15)/I15)</f>
        <v>9.938410078192877</v>
      </c>
      <c r="D15" s="7">
        <f>SUMIFS('权重计算'!$O$2:$O$383,'权重计算'!$C$2:$C$383,$B15,'权重计算'!$F$2:$F$383,D$2)/SUMIFS('权重计算'!$N$2:$N$383,'权重计算'!$C$2:$C$383,$B15,'权重计算'!$F$2:$F$383,D$2)</f>
        <v>10.0</v>
      </c>
      <c r="E15" s="7">
        <f>SUMIFS('权重计算'!$O$2:$O$383,'权重计算'!$C$2:$C$383,$B15,'权重计算'!$F$2:$F$383,E$2)/SUMIFS('权重计算'!$N$2:$N$383,'权重计算'!$C$2:$C$383,$B15,'权重计算'!$F$2:$F$383,E$2)</f>
        <v>9.864765478424015</v>
      </c>
      <c r="F15" s="7" t="inlineStr">
        <is>
          <t>--</t>
        </is>
      </c>
      <c r="G15" s="7">
        <f>SUMIFS('权重计算'!$O$2:$O$383,'权重计算'!$C$2:$C$383,$B15,'权重计算'!$F$2:$F$383,G$2)/SUMIFS('权重计算'!$N$2:$N$383,'权重计算'!$C$2:$C$383,$B15,'权重计算'!$F$2:$F$383,G$2)</f>
        <v>10.0</v>
      </c>
      <c r="H15" s="7" t="inlineStr">
        <is>
          <t>--</t>
        </is>
      </c>
      <c r="I15" s="8">
        <f>SUMIFS('权重计算'!$V$2:$V$119,'权重计算'!$R$2:$R$119,$B15)</f>
        <v>0.04030112044817927</v>
      </c>
      <c r="J15" s="9">
        <f>IF(I15=0,"",SUMIFS('权重计算'!$X$2:$X$119,'权重计算'!$R$2:$R$119,$B15)/I15)</f>
        <v>0.001033883579496252</v>
      </c>
      <c r="K15" s="10" t="inlineStr">
        <is>
          <t>--</t>
        </is>
      </c>
    </row>
    <row r="16" ht="24" customHeight="1">
      <c r="A16" s="6" t="inlineStr">
        <is>
          <t>四、专项调研</t>
        </is>
      </c>
      <c r="B16" s="6" t="n"/>
      <c r="C16" s="7" t="inlineStr">
        <is>
          <t>--</t>
        </is>
      </c>
      <c r="D16" s="7" t="inlineStr">
        <is>
          <t>--</t>
        </is>
      </c>
      <c r="E16" s="7" t="inlineStr">
        <is>
          <t>--</t>
        </is>
      </c>
      <c r="F16" s="7" t="inlineStr">
        <is>
          <t>--</t>
        </is>
      </c>
      <c r="G16" s="7" t="inlineStr">
        <is>
          <t>--</t>
        </is>
      </c>
      <c r="H16" s="7" t="inlineStr">
        <is>
          <t>--</t>
        </is>
      </c>
      <c r="I16" s="8" t="n"/>
      <c r="J16" s="10" t="n"/>
      <c r="K16" s="10" t="n"/>
    </row>
    <row r="17" ht="24" customHeight="1">
      <c r="A17" s="6" t="inlineStr">
        <is>
          <t>五、酒店客户</t>
        </is>
      </c>
      <c r="B17" s="6" t="inlineStr">
        <is>
          <t>酒店散客</t>
        </is>
      </c>
      <c r="C17" s="7">
        <f>IF(I17=0,"",SUMIFS('权重计算'!$W$2:$W$119,'权重计算'!$R$2:$R$119,$B17)/I17)</f>
        <v>9.78570412517781</v>
      </c>
      <c r="D17" s="7">
        <f>SUMIFS('权重计算'!$O$2:$O$383,'权重计算'!$C$2:$C$383,$B17,'权重计算'!$F$2:$F$383,D$2)/SUMIFS('权重计算'!$N$2:$N$383,'权重计算'!$C$2:$C$383,$B17,'权重计算'!$F$2:$F$383,D$2)</f>
        <v>9.88715420251489</v>
      </c>
      <c r="E17" s="7">
        <f>SUMIFS('权重计算'!$O$2:$O$383,'权重计算'!$C$2:$C$383,$B17,'权重计算'!$F$2:$F$383,E$2)/SUMIFS('权重计算'!$N$2:$N$383,'权重计算'!$C$2:$C$383,$B17,'权重计算'!$F$2:$F$383,E$2)</f>
        <v>9.54738583719391</v>
      </c>
      <c r="F17" s="7" t="inlineStr">
        <is>
          <t>--</t>
        </is>
      </c>
      <c r="G17" s="7" t="n"/>
      <c r="H17" s="7">
        <f>SUMIFS('权重计算'!$O$2:$O$383,'权重计算'!$C$2:$C$383,$B17,'权重计算'!$F$2:$F$383,H$2)/SUMIFS('权重计算'!$N$2:$N$383,'权重计算'!$C$2:$C$383,$B17,'权重计算'!$F$2:$F$383,H$2)</f>
        <v>9.956505016722408</v>
      </c>
      <c r="I17" s="8">
        <f>SUMIFS('权重计算'!$V$2:$V$119,'权重计算'!$R$2:$R$119,$B17)</f>
        <v>0.04922969187675069</v>
      </c>
      <c r="J17" s="9">
        <f>IF(I17=0,"",SUMIFS('权重计算'!$X$2:$X$119,'权重计算'!$R$2:$R$119,$B17)/I17)</f>
        <v>0.000599810336652628</v>
      </c>
      <c r="K17" s="10" t="inlineStr">
        <is>
          <t>一级指标</t>
        </is>
      </c>
    </row>
    <row r="18" ht="24" customHeight="1">
      <c r="A18" s="11" t="n"/>
      <c r="B18" s="6" t="inlineStr">
        <is>
          <t>酒店住宿团队</t>
        </is>
      </c>
      <c r="C18" s="7">
        <f>IF(I18=0,"",SUMIFS('权重计算'!$W$2:$W$119,'权重计算'!$R$2:$R$119,$B18)/I18)</f>
        <v>9.867914485165795</v>
      </c>
      <c r="D18" s="7">
        <f>SUMIFS('权重计算'!$O$2:$O$383,'权重计算'!$C$2:$C$383,$B18,'权重计算'!$F$2:$F$383,D$2)/SUMIFS('权重计算'!$N$2:$N$383,'权重计算'!$C$2:$C$383,$B18,'权重计算'!$F$2:$F$383,D$2)</f>
        <v>10.0</v>
      </c>
      <c r="E18" s="7">
        <f>SUMIFS('权重计算'!$O$2:$O$383,'权重计算'!$C$2:$C$383,$B18,'权重计算'!$F$2:$F$383,E$2)/SUMIFS('权重计算'!$N$2:$N$383,'权重计算'!$C$2:$C$383,$B18,'权重计算'!$F$2:$F$383,E$2)</f>
        <v>9.7930017452007</v>
      </c>
      <c r="F18" s="7" t="inlineStr">
        <is>
          <t>--</t>
        </is>
      </c>
      <c r="G18" s="7" t="n"/>
      <c r="H18" s="7">
        <f>SUMIFS('权重计算'!$O$2:$O$383,'权重计算'!$C$2:$C$383,$B18,'权重计算'!$F$2:$F$383,H$2)/SUMIFS('权重计算'!$N$2:$N$383,'权重计算'!$C$2:$C$383,$B18,'权重计算'!$F$2:$F$383,H$2)</f>
        <v>9.81584642233857</v>
      </c>
      <c r="I18" s="8">
        <f>SUMIFS('权重计算'!$V$2:$V$119,'权重计算'!$R$2:$R$119,$B18)</f>
        <v>0.051069518716577535</v>
      </c>
      <c r="J18" s="9">
        <f>IF(I18=0,"",SUMIFS('权重计算'!$X$2:$X$119,'权重计算'!$R$2:$R$119,$B18)/I18)</f>
        <v>-0.001701570680627413</v>
      </c>
      <c r="K18" s="10" t="inlineStr">
        <is>
          <t>一级指标</t>
        </is>
      </c>
    </row>
    <row r="19" ht="24" customHeight="1">
      <c r="A19" s="11" t="n"/>
      <c r="B19" s="6" t="inlineStr">
        <is>
          <t>酒店参会客户</t>
        </is>
      </c>
      <c r="C19" s="7">
        <f>IF(I19=0,"",SUMIFS('权重计算'!$W$2:$W$119,'权重计算'!$R$2:$R$119,$B19)/I19)</f>
        <v>9.840822324791766</v>
      </c>
      <c r="D19" s="7">
        <f>SUMIFS('权重计算'!$O$2:$O$383,'权重计算'!$C$2:$C$383,$B19,'权重计算'!$F$2:$F$383,D$2)/SUMIFS('权重计算'!$N$2:$N$383,'权重计算'!$C$2:$C$383,$B19,'权重计算'!$F$2:$F$383,D$2)</f>
        <v>9.986725227813807</v>
      </c>
      <c r="E19" s="7">
        <f>SUMIFS('权重计算'!$O$2:$O$383,'权重计算'!$C$2:$C$383,$B19,'权重计算'!$F$2:$F$383,E$2)/SUMIFS('权重计算'!$N$2:$N$383,'权重计算'!$C$2:$C$383,$B19,'权重计算'!$F$2:$F$383,E$2)</f>
        <v>9.66227786443368</v>
      </c>
      <c r="F19" s="7">
        <f>SUMIFS('权重计算'!$O$2:$O$383,'权重计算'!$C$2:$C$383,$B19,'权重计算'!$F$2:$F$383,F$2)/SUMIFS('权重计算'!$N$2:$N$383,'权重计算'!$C$2:$C$383,$B19,'权重计算'!$F$2:$F$383,F$2)</f>
        <v>9.857636209397148</v>
      </c>
      <c r="G19" s="7">
        <f>SUMIFS('权重计算'!$O$2:$O$383,'权重计算'!$C$2:$C$383,$B19,'权重计算'!$F$2:$F$383,G$2)/SUMIFS('权重计算'!$N$2:$N$383,'权重计算'!$C$2:$C$383,$B19,'权重计算'!$F$2:$F$383,G$2)</f>
        <v>10.0</v>
      </c>
      <c r="H19" s="7">
        <f>SUMIFS('权重计算'!$O$2:$O$383,'权重计算'!$C$2:$C$383,$B19,'权重计算'!$F$2:$F$383,H$2)/SUMIFS('权重计算'!$N$2:$N$383,'权重计算'!$C$2:$C$383,$B19,'权重计算'!$F$2:$F$383,H$2)</f>
        <v>9.629973821989529</v>
      </c>
      <c r="I19" s="8">
        <f>SUMIFS('权重计算'!$V$2:$V$119,'权重计算'!$R$2:$R$119,$B19)</f>
        <v>0.059998090145148966</v>
      </c>
      <c r="J19" s="9">
        <f>IF(I19=0,"",SUMIFS('权重计算'!$X$2:$X$119,'权重计算'!$R$2:$R$119,$B19)/I19)</f>
        <v>0.00023732470334367588</v>
      </c>
      <c r="K19" s="10" t="inlineStr">
        <is>
          <t>配套子项，不另计分</t>
        </is>
      </c>
    </row>
    <row r="20" ht="24" customHeight="1">
      <c r="A20" s="11" t="n"/>
      <c r="B20" s="6" t="inlineStr">
        <is>
          <t>酒店会议主（承）办</t>
        </is>
      </c>
      <c r="C20" s="7">
        <f>IF(I20=0,"",SUMIFS('权重计算'!$W$2:$W$119,'权重计算'!$R$2:$R$119,$B20)/I20)</f>
        <v>9.823655761024181</v>
      </c>
      <c r="D20" s="7">
        <f>SUMIFS('权重计算'!$O$2:$O$383,'权重计算'!$C$2:$C$383,$B20,'权重计算'!$F$2:$F$383,D$2)/SUMIFS('权重计算'!$N$2:$N$383,'权重计算'!$C$2:$C$383,$B20,'权重计算'!$F$2:$F$383,D$2)</f>
        <v>9.858601076095312</v>
      </c>
      <c r="E20" s="7">
        <f>SUMIFS('权重计算'!$O$2:$O$383,'权重计算'!$C$2:$C$383,$B20,'权重计算'!$F$2:$F$383,E$2)/SUMIFS('权重计算'!$N$2:$N$383,'权重计算'!$C$2:$C$383,$B20,'权重计算'!$F$2:$F$383,E$2)</f>
        <v>9.802106072252114</v>
      </c>
      <c r="F20" s="7">
        <f>SUMIFS('权重计算'!$O$2:$O$383,'权重计算'!$C$2:$C$383,$B20,'权重计算'!$F$2:$F$383,F$2)/SUMIFS('权重计算'!$N$2:$N$383,'权重计算'!$C$2:$C$383,$B20,'权重计算'!$F$2:$F$383,F$2)</f>
        <v>9.767563412759417</v>
      </c>
      <c r="G20" s="7">
        <f>SUMIFS('权重计算'!$O$2:$O$383,'权重计算'!$C$2:$C$383,$B20,'权重计算'!$F$2:$F$383,G$2)/SUMIFS('权重计算'!$N$2:$N$383,'权重计算'!$C$2:$C$383,$B20,'权重计算'!$F$2:$F$383,G$2)</f>
        <v>10.0</v>
      </c>
      <c r="H20" s="7">
        <f>SUMIFS('权重计算'!$O$2:$O$383,'权重计算'!$C$2:$C$383,$B20,'权重计算'!$F$2:$F$383,H$2)/SUMIFS('权重计算'!$N$2:$N$383,'权重计算'!$C$2:$C$383,$B20,'权重计算'!$F$2:$F$383,H$2)</f>
        <v>8.828125</v>
      </c>
      <c r="I20" s="8">
        <f>SUMIFS('权重计算'!$V$2:$V$119,'权重计算'!$R$2:$R$119,$B20)</f>
        <v>0.02461484593837535</v>
      </c>
      <c r="J20" s="9">
        <f>IF(I20=0,"",SUMIFS('权重计算'!$X$2:$X$119,'权重计算'!$R$2:$R$119,$B20)/I20)</f>
        <v>6.013839655437548e-16</v>
      </c>
      <c r="K20" s="10" t="inlineStr">
        <is>
          <t>配套子项，不另计分</t>
        </is>
      </c>
    </row>
    <row r="21" ht="24" customHeight="1">
      <c r="A21" s="12" t="n"/>
      <c r="B21" s="6" t="inlineStr">
        <is>
          <t>酒店餐饮客户</t>
        </is>
      </c>
      <c r="C21" s="7">
        <f>IF(I21=0,"",SUMIFS('权重计算'!$W$2:$W$119,'权重计算'!$R$2:$R$119,$B21)/I21)</f>
        <v>9.742134016809826</v>
      </c>
      <c r="D21" s="7" t="inlineStr">
        <is>
          <t>--</t>
        </is>
      </c>
      <c r="E21" s="7">
        <f>SUMIFS('权重计算'!$O$2:$O$383,'权重计算'!$C$2:$C$383,$B21,'权重计算'!$F$2:$F$383,E$2)/SUMIFS('权重计算'!$N$2:$N$383,'权重计算'!$C$2:$C$383,$B21,'权重计算'!$F$2:$F$383,E$2)</f>
        <v>9.603291308765126</v>
      </c>
      <c r="F21" s="7" t="inlineStr">
        <is>
          <t>--</t>
        </is>
      </c>
      <c r="G21" s="7" t="n"/>
      <c r="H21" s="7">
        <f>SUMIFS('权重计算'!$O$2:$O$383,'权重计算'!$C$2:$C$383,$B21,'权重计算'!$F$2:$F$383,H$2)/SUMIFS('权重计算'!$N$2:$N$383,'权重计算'!$C$2:$C$383,$B21,'权重计算'!$F$2:$F$383,H$2)</f>
        <v>9.871447769465226</v>
      </c>
      <c r="I21" s="8">
        <f>SUMIFS('权重计算'!$V$2:$V$119,'权重计算'!$R$2:$R$119,$B21)</f>
        <v>0.06892666157372039</v>
      </c>
      <c r="J21" s="9">
        <f>IF(I21=0,"",SUMIFS('权重计算'!$X$2:$X$119,'权重计算'!$R$2:$R$119,$B21)/I21)</f>
        <v>0.004764477694651993</v>
      </c>
      <c r="K21" s="10" t="inlineStr">
        <is>
          <t>一级指标</t>
        </is>
      </c>
    </row>
    <row r="22" ht="28" customHeight="1">
      <c r="A22" s="5" t="inlineStr">
        <is>
          <t>总分</t>
        </is>
      </c>
      <c r="B22" s="5" t="n"/>
      <c r="C22" s="7">
        <f>AVERAGE('周期计算'!C2:C9)</f>
        <v>9.71</v>
      </c>
      <c r="D22" s="7">
        <f>IF(D23=0,"",SUMIFS('权重计算'!$M$2:$M$383,'权重计算'!$F$2:$F$383,D$2)/D23)</f>
        <v>9.941160489076003</v>
      </c>
      <c r="E22" s="7">
        <f>IF(E23=0,"",SUMIFS('权重计算'!$M$2:$M$383,'权重计算'!$F$2:$F$383,E$2)/E23)</f>
        <v>9.544154503147727</v>
      </c>
      <c r="F22" s="7">
        <f>IF(F23=0,"",SUMIFS('权重计算'!$M$2:$M$383,'权重计算'!$F$2:$F$383,F$2)/F23)</f>
        <v>9.738482977998917</v>
      </c>
      <c r="G22" s="7">
        <f>IF(G23=0,"",SUMIFS('权重计算'!$M$2:$M$383,'权重计算'!$F$2:$F$383,G$2)/G23)</f>
        <v>9.478228709258458</v>
      </c>
      <c r="H22" s="7">
        <f>IF(H23=0,"",SUMIFS('权重计算'!$M$2:$M$383,'权重计算'!$F$2:$F$383,H$2)/H23)</f>
        <v>9.796440059764457</v>
      </c>
      <c r="I22" s="8">
        <f>SUM('权重计算'!$V$2:$V$119)</f>
        <v>1.0</v>
      </c>
      <c r="J22" s="9">
        <f>SUM('权重计算'!$X$2:$X$119)+SUM('周期计算'!N2:N9)</f>
        <v>-0.0011431966726074766</v>
      </c>
      <c r="K22" s="10" t="n"/>
    </row>
    <row r="23">
      <c r="A23" s="8" t="inlineStr">
        <is>
          <t>一级指标权重</t>
        </is>
      </c>
      <c r="B23" s="8" t="n"/>
      <c r="C23" s="8" t="n"/>
      <c r="D23" s="8">
        <f>SUMIFS('权重计算'!$L$2:$L$383,'权重计算'!$F$2:$F$383,D$2)</f>
        <v>0.22883456412868178</v>
      </c>
      <c r="E23" s="8">
        <f>SUMIFS('权重计算'!$L$2:$L$383,'权重计算'!$F$2:$F$383,E$2)</f>
        <v>0.3910109498344792</v>
      </c>
      <c r="F23" s="8">
        <f>SUMIFS('权重计算'!$L$2:$L$383,'权重计算'!$F$2:$F$383,F$2)</f>
        <v>0.1526844070961718</v>
      </c>
      <c r="G23" s="8">
        <f>SUMIFS('权重计算'!$L$2:$L$383,'权重计算'!$F$2:$F$383,G$2)</f>
        <v>0.034311603429250485</v>
      </c>
      <c r="H23" s="8">
        <f>SUMIFS('权重计算'!$L$2:$L$383,'权重计算'!$F$2:$F$383,H$2)</f>
        <v>0.19315847551141668</v>
      </c>
      <c r="I23" s="8" t="n"/>
      <c r="J23" s="8" t="n"/>
      <c r="K23" s="8" t="n"/>
    </row>
    <row r="24">
      <c r="A24" s="10" t="inlineStr">
        <is>
          <t>总分核对差额</t>
        </is>
      </c>
      <c r="B24" s="10" t="n"/>
      <c r="C24" s="13">
        <f>C22-SUMPRODUCT(D22:H22,D23:H23)-J22</f>
        <v>-0.0</v>
      </c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 ht="32" customHeight="1">
      <c r="A25" s="10" t="inlineStr">
        <is>
          <t>各周期等权。列底分数按一级指标贡献加权；餐饮为配套子项时权重为0。舍入差额保留单期原评分。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>
      <c r="A27" s="10" t="inlineStr">
        <is>
          <t>计分权重与横向核对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>
      <c r="A28" s="10" t="inlineStr">
        <is>
          <t>客户大类</t>
        </is>
      </c>
      <c r="B28" s="10" t="inlineStr">
        <is>
          <t>样本类型</t>
        </is>
      </c>
      <c r="C28" s="10" t="inlineStr">
        <is>
          <t>类型权重</t>
        </is>
      </c>
      <c r="D28" s="10" t="inlineStr">
        <is>
          <t>产品服务</t>
        </is>
      </c>
      <c r="E28" s="10" t="inlineStr">
        <is>
          <t>硬件设施</t>
        </is>
      </c>
      <c r="F28" s="10" t="inlineStr">
        <is>
          <t>配套服务</t>
        </is>
      </c>
      <c r="G28" s="10" t="inlineStr">
        <is>
          <t>智慧场馆/服务</t>
        </is>
      </c>
      <c r="H28" s="10" t="inlineStr">
        <is>
          <t>餐饮服务</t>
        </is>
      </c>
      <c r="I28" s="10" t="inlineStr">
        <is>
          <t>横向核对差额</t>
        </is>
      </c>
      <c r="J28" s="10" t="n"/>
      <c r="K28" s="10" t="n"/>
    </row>
    <row r="29">
      <c r="A29" s="10" t="inlineStr">
        <is>
          <t>一、会展客户</t>
        </is>
      </c>
      <c r="B29" s="10" t="inlineStr">
        <is>
          <t>展览活动主（承）办</t>
        </is>
      </c>
      <c r="C29" s="8">
        <f>I3</f>
        <v>0.06892666157372039</v>
      </c>
      <c r="D29" s="8">
        <f>SUMIFS('权重计算'!$L$2:$L$383,'权重计算'!$C$2:$C$383,$B3,'权重计算'!$F$2:$F$383,D$2)</f>
        <v>0.020721394618453442</v>
      </c>
      <c r="E29" s="8">
        <f>SUMIFS('权重计算'!$L$2:$L$383,'权重计算'!$C$2:$C$383,$B3,'权重计算'!$F$2:$F$383,E$2)</f>
        <v>0.020721394618453442</v>
      </c>
      <c r="F29" s="8">
        <f>SUMIFS('权重计算'!$L$2:$L$383,'权重计算'!$C$2:$C$383,$B3,'权重计算'!$F$2:$F$383,F$2)</f>
        <v>0.020721394618453442</v>
      </c>
      <c r="G29" s="8">
        <f>SUMIFS('权重计算'!$L$2:$L$383,'权重计算'!$C$2:$C$383,$B3,'权重计算'!$F$2:$F$383,G$2)</f>
        <v>0.006762477718360071</v>
      </c>
      <c r="H29" s="8">
        <f>SUMIFS('权重计算'!$L$2:$L$383,'权重计算'!$C$2:$C$383,$B3,'权重计算'!$F$2:$F$383,H$2)</f>
        <v>0.0</v>
      </c>
      <c r="I29" s="9">
        <f>IF(I3=0,"",C3-SUMPRODUCT(D3:H3,D29:H29)/I3-J3)</f>
        <v>-1.7763568394002505e-15</v>
      </c>
      <c r="J29" s="10" t="n"/>
      <c r="K29" s="10" t="n"/>
    </row>
    <row r="30">
      <c r="A30" s="10" t="inlineStr">
        <is>
          <t>一、会展客户</t>
        </is>
      </c>
      <c r="B30" s="10" t="inlineStr">
        <is>
          <t>参展商</t>
        </is>
      </c>
      <c r="C30" s="8">
        <f>I4</f>
        <v>0.06892666157372039</v>
      </c>
      <c r="D30" s="8">
        <f>SUMIFS('权重计算'!$L$2:$L$383,'权重计算'!$C$2:$C$383,$B4,'权重计算'!$F$2:$F$383,D$2)</f>
        <v>0.02223150623885918</v>
      </c>
      <c r="E30" s="8">
        <f>SUMIFS('权重计算'!$L$2:$L$383,'权重计算'!$C$2:$C$383,$B4,'权重计算'!$F$2:$F$383,E$2)</f>
        <v>0.02223150623885918</v>
      </c>
      <c r="F30" s="8">
        <f>SUMIFS('权重计算'!$L$2:$L$383,'权重计算'!$C$2:$C$383,$B4,'权重计算'!$F$2:$F$383,F$2)</f>
        <v>0.02223150623885918</v>
      </c>
      <c r="G30" s="8">
        <f>SUMIFS('权重计算'!$L$2:$L$383,'权重计算'!$C$2:$C$383,$B4,'权重计算'!$F$2:$F$383,G$2)</f>
        <v>0.002232142857142857</v>
      </c>
      <c r="H30" s="8">
        <f>SUMIFS('权重计算'!$L$2:$L$383,'权重计算'!$C$2:$C$383,$B4,'权重计算'!$F$2:$F$383,H$2)</f>
        <v>0.0</v>
      </c>
      <c r="I30" s="9">
        <f>IF(I4=0,"",C4-SUMPRODUCT(D4:H4,D30:H30)/I4-J4)</f>
        <v>-1.7763568394002505e-15</v>
      </c>
      <c r="J30" s="10" t="n"/>
      <c r="K30" s="10" t="n"/>
    </row>
    <row r="31">
      <c r="A31" s="10" t="inlineStr">
        <is>
          <t>一、会展客户</t>
        </is>
      </c>
      <c r="B31" s="10" t="inlineStr">
        <is>
          <t>专业观众</t>
        </is>
      </c>
      <c r="C31" s="8">
        <f>I5</f>
        <v>0.06892666157372039</v>
      </c>
      <c r="D31" s="8">
        <f>SUMIFS('权重计算'!$L$2:$L$383,'权重计算'!$C$2:$C$383,$B5,'权重计算'!$F$2:$F$383,D$2)</f>
        <v>0.022975553857906797</v>
      </c>
      <c r="E31" s="8">
        <f>SUMIFS('权重计算'!$L$2:$L$383,'权重计算'!$C$2:$C$383,$B5,'权重计算'!$F$2:$F$383,E$2)</f>
        <v>0.022975553857906797</v>
      </c>
      <c r="F31" s="8">
        <f>SUMIFS('权重计算'!$L$2:$L$383,'权重计算'!$C$2:$C$383,$B5,'权重计算'!$F$2:$F$383,F$2)</f>
        <v>0.022975553857906797</v>
      </c>
      <c r="G31" s="8">
        <f>SUMIFS('权重计算'!$L$2:$L$383,'权重计算'!$C$2:$C$383,$B5,'权重计算'!$F$2:$F$383,G$2)</f>
        <v>0.0</v>
      </c>
      <c r="H31" s="8">
        <f>SUMIFS('权重计算'!$L$2:$L$383,'权重计算'!$C$2:$C$383,$B5,'权重计算'!$F$2:$F$383,H$2)</f>
        <v>0.0</v>
      </c>
      <c r="I31" s="9">
        <f>IF(I5=0,"",C5-SUMPRODUCT(D5:H5,D31:H31)/I5-J5)</f>
        <v>1.7763568394002505e-15</v>
      </c>
      <c r="J31" s="10" t="n"/>
      <c r="K31" s="10" t="n"/>
    </row>
    <row r="32">
      <c r="A32" s="10" t="inlineStr">
        <is>
          <t>一、会展客户</t>
        </is>
      </c>
      <c r="B32" s="10" t="inlineStr">
        <is>
          <t>会展服务商</t>
        </is>
      </c>
      <c r="C32" s="8">
        <f>I6</f>
        <v>0.05756302521008402</v>
      </c>
      <c r="D32" s="8">
        <f>SUMIFS('权重计算'!$L$2:$L$383,'权重计算'!$C$2:$C$383,$B6,'权重计算'!$F$2:$F$383,D$2)</f>
        <v>0.017749183006535947</v>
      </c>
      <c r="E32" s="8">
        <f>SUMIFS('权重计算'!$L$2:$L$383,'权重计算'!$C$2:$C$383,$B6,'权重计算'!$F$2:$F$383,E$2)</f>
        <v>0.017749183006535947</v>
      </c>
      <c r="F32" s="8">
        <f>SUMIFS('权重计算'!$L$2:$L$383,'权重计算'!$C$2:$C$383,$B6,'权重计算'!$F$2:$F$383,F$2)</f>
        <v>0.017749183006535947</v>
      </c>
      <c r="G32" s="8">
        <f>SUMIFS('权重计算'!$L$2:$L$383,'权重计算'!$C$2:$C$383,$B6,'权重计算'!$F$2:$F$383,G$2)</f>
        <v>0.004315476190476191</v>
      </c>
      <c r="H32" s="8">
        <f>SUMIFS('权重计算'!$L$2:$L$383,'权重计算'!$C$2:$C$383,$B6,'权重计算'!$F$2:$F$383,H$2)</f>
        <v>0.0</v>
      </c>
      <c r="I32" s="9">
        <f>IF(I6=0,"",C6-SUMPRODUCT(D6:H6,D32:H32)/I6-J6)</f>
        <v>1.7763568394002505e-15</v>
      </c>
      <c r="J32" s="10" t="n"/>
      <c r="K32" s="10" t="n"/>
    </row>
    <row r="33">
      <c r="A33" s="10" t="inlineStr">
        <is>
          <t>一、会展客户</t>
        </is>
      </c>
      <c r="B33" s="10" t="inlineStr">
        <is>
          <t>会议活动主（承）办</t>
        </is>
      </c>
      <c r="C33" s="8">
        <f>I7</f>
        <v>0.06892666157372039</v>
      </c>
      <c r="D33" s="8">
        <f>SUMIFS('权重计算'!$L$2:$L$383,'权重计算'!$C$2:$C$383,$B7,'权重计算'!$F$2:$F$383,D$2)</f>
        <v>0.0220285841609371</v>
      </c>
      <c r="E33" s="8">
        <f>SUMIFS('权重计算'!$L$2:$L$383,'权重计算'!$C$2:$C$383,$B7,'权重计算'!$F$2:$F$383,E$2)</f>
        <v>0.0220285841609371</v>
      </c>
      <c r="F33" s="8">
        <f>SUMIFS('权重计算'!$L$2:$L$383,'权重计算'!$C$2:$C$383,$B7,'权重计算'!$F$2:$F$383,F$2)</f>
        <v>0.0220285841609371</v>
      </c>
      <c r="G33" s="8">
        <f>SUMIFS('权重计算'!$L$2:$L$383,'权重计算'!$C$2:$C$383,$B7,'权重计算'!$F$2:$F$383,G$2)</f>
        <v>0.002840909090909091</v>
      </c>
      <c r="H33" s="8">
        <f>SUMIFS('权重计算'!$L$2:$L$383,'权重计算'!$C$2:$C$383,$B7,'权重计算'!$F$2:$F$383,H$2)</f>
        <v>0.0</v>
      </c>
      <c r="I33" s="9">
        <f>IF(I7=0,"",C7-SUMPRODUCT(D7:H7,D33:H33)/I7-J7)</f>
        <v>0.0</v>
      </c>
      <c r="J33" s="10" t="n"/>
      <c r="K33" s="10" t="n"/>
    </row>
    <row r="34">
      <c r="A34" s="10" t="inlineStr">
        <is>
          <t>一、会展客户</t>
        </is>
      </c>
      <c r="B34" s="10" t="inlineStr">
        <is>
          <t>参会客户</t>
        </is>
      </c>
      <c r="C34" s="8">
        <f>I8</f>
        <v>0.059998090145148966</v>
      </c>
      <c r="D34" s="8">
        <f>SUMIFS('权重计算'!$L$2:$L$383,'权重计算'!$C$2:$C$383,$B8,'权重计算'!$F$2:$F$383,D$2)</f>
        <v>0.01999936338171632</v>
      </c>
      <c r="E34" s="8">
        <f>SUMIFS('权重计算'!$L$2:$L$383,'权重计算'!$C$2:$C$383,$B8,'权重计算'!$F$2:$F$383,E$2)</f>
        <v>0.01999936338171632</v>
      </c>
      <c r="F34" s="8">
        <f>SUMIFS('权重计算'!$L$2:$L$383,'权重计算'!$C$2:$C$383,$B8,'权重计算'!$F$2:$F$383,F$2)</f>
        <v>0.01999936338171632</v>
      </c>
      <c r="G34" s="8">
        <f>SUMIFS('权重计算'!$L$2:$L$383,'权重计算'!$C$2:$C$383,$B8,'权重计算'!$F$2:$F$383,G$2)</f>
        <v>0.0</v>
      </c>
      <c r="H34" s="8">
        <f>SUMIFS('权重计算'!$L$2:$L$383,'权重计算'!$C$2:$C$383,$B8,'权重计算'!$F$2:$F$383,H$2)</f>
        <v>0.0</v>
      </c>
      <c r="I34" s="9">
        <f>IF(I8=0,"",C8-SUMPRODUCT(D8:H8,D34:H34)/I8-J8)</f>
        <v>1.7763568394002505e-15</v>
      </c>
      <c r="J34" s="10" t="n"/>
      <c r="K34" s="10" t="n"/>
    </row>
    <row r="35">
      <c r="A35" s="10" t="inlineStr">
        <is>
          <t>二、餐饮客户</t>
        </is>
      </c>
      <c r="B35" s="10" t="inlineStr">
        <is>
          <t>商务简餐</t>
        </is>
      </c>
      <c r="C35" s="8">
        <f>I9</f>
        <v>0.06892666157372039</v>
      </c>
      <c r="D35" s="8">
        <f>SUMIFS('权重计算'!$L$2:$L$383,'权重计算'!$C$2:$C$383,$B9,'权重计算'!$F$2:$F$383,D$2)</f>
        <v>0.0</v>
      </c>
      <c r="E35" s="8">
        <f>SUMIFS('权重计算'!$L$2:$L$383,'权重计算'!$C$2:$C$383,$B9,'权重计算'!$F$2:$F$383,E$2)</f>
        <v>0.03307444189797131</v>
      </c>
      <c r="F35" s="8">
        <f>SUMIFS('权重计算'!$L$2:$L$383,'权重计算'!$C$2:$C$383,$B9,'权重计算'!$F$2:$F$383,F$2)</f>
        <v>0.0</v>
      </c>
      <c r="G35" s="8">
        <f>SUMIFS('权重计算'!$L$2:$L$383,'权重计算'!$C$2:$C$383,$B9,'权重计算'!$F$2:$F$383,G$2)</f>
        <v>0.0027777777777777775</v>
      </c>
      <c r="H35" s="8">
        <f>SUMIFS('权重计算'!$L$2:$L$383,'权重计算'!$C$2:$C$383,$B9,'权重计算'!$F$2:$F$383,H$2)</f>
        <v>0.03307444189797131</v>
      </c>
      <c r="I35" s="9">
        <f>IF(I9=0,"",C9-SUMPRODUCT(D9:H9,D35:H35)/I9-J9)</f>
        <v>1.7763568394002505e-15</v>
      </c>
      <c r="J35" s="10" t="n"/>
      <c r="K35" s="10" t="n"/>
    </row>
    <row r="36">
      <c r="A36" s="10" t="inlineStr">
        <is>
          <t>二、餐饮客户</t>
        </is>
      </c>
      <c r="B36" s="10" t="inlineStr">
        <is>
          <t>特色美食廊</t>
        </is>
      </c>
      <c r="C36" s="8">
        <f>I10</f>
        <v>0.05756302521008402</v>
      </c>
      <c r="D36" s="8">
        <f>SUMIFS('权重计算'!$L$2:$L$383,'权重计算'!$C$2:$C$383,$B10,'权重计算'!$F$2:$F$383,D$2)</f>
        <v>0.0</v>
      </c>
      <c r="E36" s="8">
        <f>SUMIFS('权重计算'!$L$2:$L$383,'权重计算'!$C$2:$C$383,$B10,'权重计算'!$F$2:$F$383,E$2)</f>
        <v>0.025904528478057888</v>
      </c>
      <c r="F36" s="8">
        <f>SUMIFS('权重计算'!$L$2:$L$383,'权重计算'!$C$2:$C$383,$B10,'权重计算'!$F$2:$F$383,F$2)</f>
        <v>0.0</v>
      </c>
      <c r="G36" s="8">
        <f>SUMIFS('权重计算'!$L$2:$L$383,'权重计算'!$C$2:$C$383,$B10,'权重计算'!$F$2:$F$383,G$2)</f>
        <v>0.0057539682539682535</v>
      </c>
      <c r="H36" s="8">
        <f>SUMIFS('权重计算'!$L$2:$L$383,'权重计算'!$C$2:$C$383,$B10,'权重计算'!$F$2:$F$383,H$2)</f>
        <v>0.025904528478057888</v>
      </c>
      <c r="I36" s="9">
        <f>IF(I10=0,"",C10-SUMPRODUCT(D10:H10,D36:H36)/I10-J10)</f>
        <v>0.0</v>
      </c>
      <c r="J36" s="10" t="n"/>
      <c r="K36" s="10" t="n"/>
    </row>
    <row r="37">
      <c r="A37" s="10" t="inlineStr">
        <is>
          <t>二、餐饮客户</t>
        </is>
      </c>
      <c r="B37" s="10" t="inlineStr">
        <is>
          <t>婚宴</t>
        </is>
      </c>
      <c r="C37" s="8">
        <f>I11</f>
        <v>0.031967787114845936</v>
      </c>
      <c r="D37" s="8">
        <f>SUMIFS('权重计算'!$L$2:$L$383,'权重计算'!$C$2:$C$383,$B11,'权重计算'!$F$2:$F$383,D$2)</f>
        <v>0.0</v>
      </c>
      <c r="E37" s="8">
        <f>SUMIFS('权重计算'!$L$2:$L$383,'权重计算'!$C$2:$C$383,$B11,'权重计算'!$F$2:$F$383,E$2)</f>
        <v>0.015983893557422968</v>
      </c>
      <c r="F37" s="8">
        <f>SUMIFS('权重计算'!$L$2:$L$383,'权重计算'!$C$2:$C$383,$B11,'权重计算'!$F$2:$F$383,F$2)</f>
        <v>0.0</v>
      </c>
      <c r="G37" s="8">
        <f>SUMIFS('权重计算'!$L$2:$L$383,'权重计算'!$C$2:$C$383,$B11,'权重计算'!$F$2:$F$383,G$2)</f>
        <v>0.0</v>
      </c>
      <c r="H37" s="8">
        <f>SUMIFS('权重计算'!$L$2:$L$383,'权重计算'!$C$2:$C$383,$B11,'权重计算'!$F$2:$F$383,H$2)</f>
        <v>0.015983893557422968</v>
      </c>
      <c r="I37" s="9">
        <f>IF(I11=0,"",C11-SUMPRODUCT(D11:H11,D37:H37)/I11-J11)</f>
        <v>1.7763568394002505e-15</v>
      </c>
      <c r="J37" s="10" t="n"/>
      <c r="K37" s="10" t="n"/>
    </row>
    <row r="38">
      <c r="A38" s="10" t="inlineStr">
        <is>
          <t>二、餐饮客户</t>
        </is>
      </c>
      <c r="B38" s="10" t="inlineStr">
        <is>
          <t>自助餐</t>
        </is>
      </c>
      <c r="C38" s="8">
        <f>I12</f>
        <v>0.06059332824038706</v>
      </c>
      <c r="D38" s="8">
        <f>SUMIFS('权重计算'!$L$2:$L$383,'权重计算'!$C$2:$C$383,$B12,'权重计算'!$F$2:$F$383,D$2)</f>
        <v>0.0</v>
      </c>
      <c r="E38" s="8">
        <f>SUMIFS('权重计算'!$L$2:$L$383,'权重计算'!$C$2:$C$383,$B12,'权重计算'!$F$2:$F$383,E$2)</f>
        <v>0.03029666412019353</v>
      </c>
      <c r="F38" s="8">
        <f>SUMIFS('权重计算'!$L$2:$L$383,'权重计算'!$C$2:$C$383,$B12,'权重计算'!$F$2:$F$383,F$2)</f>
        <v>0.0</v>
      </c>
      <c r="G38" s="8">
        <f>SUMIFS('权重计算'!$L$2:$L$383,'权重计算'!$C$2:$C$383,$B12,'权重计算'!$F$2:$F$383,G$2)</f>
        <v>0.0</v>
      </c>
      <c r="H38" s="8">
        <f>SUMIFS('权重计算'!$L$2:$L$383,'权重计算'!$C$2:$C$383,$B12,'权重计算'!$F$2:$F$383,H$2)</f>
        <v>0.03029666412019353</v>
      </c>
      <c r="I38" s="9">
        <f>IF(I12=0,"",C12-SUMPRODUCT(D12:H12,D38:H38)/I12-J12)</f>
        <v>-1.7763568394002505e-15</v>
      </c>
      <c r="J38" s="10" t="n"/>
      <c r="K38" s="10" t="n"/>
    </row>
    <row r="39">
      <c r="A39" s="10" t="inlineStr">
        <is>
          <t>二、餐饮客户</t>
        </is>
      </c>
      <c r="B39" s="10" t="inlineStr">
        <is>
          <t>宴会</t>
        </is>
      </c>
      <c r="C39" s="8">
        <f>I13</f>
        <v>0.04490705373058314</v>
      </c>
      <c r="D39" s="8">
        <f>SUMIFS('权重计算'!$L$2:$L$383,'权重计算'!$C$2:$C$383,$B13,'权重计算'!$F$2:$F$383,D$2)</f>
        <v>0.0</v>
      </c>
      <c r="E39" s="8">
        <f>SUMIFS('权重计算'!$L$2:$L$383,'权重计算'!$C$2:$C$383,$B13,'权重计算'!$F$2:$F$383,E$2)</f>
        <v>0.02245352686529157</v>
      </c>
      <c r="F39" s="8">
        <f>SUMIFS('权重计算'!$L$2:$L$383,'权重计算'!$C$2:$C$383,$B13,'权重计算'!$F$2:$F$383,F$2)</f>
        <v>0.0</v>
      </c>
      <c r="G39" s="8">
        <f>SUMIFS('权重计算'!$L$2:$L$383,'权重计算'!$C$2:$C$383,$B13,'权重计算'!$F$2:$F$383,G$2)</f>
        <v>0.0</v>
      </c>
      <c r="H39" s="8">
        <f>SUMIFS('权重计算'!$L$2:$L$383,'权重计算'!$C$2:$C$383,$B13,'权重计算'!$F$2:$F$383,H$2)</f>
        <v>0.02245352686529157</v>
      </c>
      <c r="I39" s="9">
        <f>IF(I13=0,"",C13-SUMPRODUCT(D13:H13,D39:H39)/I13-J13)</f>
        <v>0.0</v>
      </c>
      <c r="J39" s="10" t="n"/>
      <c r="K39" s="10" t="n"/>
    </row>
    <row r="40">
      <c r="A40" s="10" t="inlineStr">
        <is>
          <t>三、G20峰会体验馆</t>
        </is>
      </c>
      <c r="B40" s="10" t="inlineStr">
        <is>
          <t>游客</t>
        </is>
      </c>
      <c r="C40" s="8">
        <f>I14</f>
        <v>0.0486344537815126</v>
      </c>
      <c r="D40" s="8">
        <f>SUMIFS('权重计算'!$L$2:$L$383,'权重计算'!$C$2:$C$383,$B14,'权重计算'!$F$2:$F$383,D$2)</f>
        <v>0.022829131652661063</v>
      </c>
      <c r="E40" s="8">
        <f>SUMIFS('权重计算'!$L$2:$L$383,'权重计算'!$C$2:$C$383,$B14,'权重计算'!$F$2:$F$383,E$2)</f>
        <v>0.022829131652661063</v>
      </c>
      <c r="F40" s="8">
        <f>SUMIFS('权重计算'!$L$2:$L$383,'权重计算'!$C$2:$C$383,$B14,'权重计算'!$F$2:$F$383,F$2)</f>
        <v>0.0</v>
      </c>
      <c r="G40" s="8">
        <f>SUMIFS('权重计算'!$L$2:$L$383,'权重计算'!$C$2:$C$383,$B14,'权重计算'!$F$2:$F$383,G$2)</f>
        <v>0.002976190476190476</v>
      </c>
      <c r="H40" s="8">
        <f>SUMIFS('权重计算'!$L$2:$L$383,'权重计算'!$C$2:$C$383,$B14,'权重计算'!$F$2:$F$383,H$2)</f>
        <v>0.0</v>
      </c>
      <c r="I40" s="9">
        <f>IF(I14=0,"",C14-SUMPRODUCT(D14:H14,D40:H40)/I14-J14)</f>
        <v>1.7763568394002505e-15</v>
      </c>
      <c r="J40" s="10" t="n"/>
      <c r="K40" s="10" t="n"/>
    </row>
    <row r="41">
      <c r="A41" s="10" t="inlineStr">
        <is>
          <t>三、G20峰会体验馆</t>
        </is>
      </c>
      <c r="B41" s="10" t="inlineStr">
        <is>
          <t>旅行社工作人员</t>
        </is>
      </c>
      <c r="C41" s="8">
        <f>I15</f>
        <v>0.04030112044817927</v>
      </c>
      <c r="D41" s="8">
        <f>SUMIFS('权重计算'!$L$2:$L$383,'权重计算'!$C$2:$C$383,$B15,'权重计算'!$F$2:$F$383,D$2)</f>
        <v>0.018662464985994397</v>
      </c>
      <c r="E41" s="8">
        <f>SUMIFS('权重计算'!$L$2:$L$383,'权重计算'!$C$2:$C$383,$B15,'权重计算'!$F$2:$F$383,E$2)</f>
        <v>0.018662464985994397</v>
      </c>
      <c r="F41" s="8">
        <f>SUMIFS('权重计算'!$L$2:$L$383,'权重计算'!$C$2:$C$383,$B15,'权重计算'!$F$2:$F$383,F$2)</f>
        <v>0.0</v>
      </c>
      <c r="G41" s="8">
        <f>SUMIFS('权重计算'!$L$2:$L$383,'权重计算'!$C$2:$C$383,$B15,'权重计算'!$F$2:$F$383,G$2)</f>
        <v>0.002976190476190476</v>
      </c>
      <c r="H41" s="8">
        <f>SUMIFS('权重计算'!$L$2:$L$383,'权重计算'!$C$2:$C$383,$B15,'权重计算'!$F$2:$F$383,H$2)</f>
        <v>0.0</v>
      </c>
      <c r="I41" s="9">
        <f>IF(I15=0,"",C15-SUMPRODUCT(D15:H15,D41:H41)/I15-J15)</f>
        <v>0.0</v>
      </c>
      <c r="J41" s="10" t="n"/>
      <c r="K41" s="10" t="n"/>
    </row>
    <row r="42">
      <c r="A42" s="10" t="n"/>
      <c r="B42" s="10" t="n"/>
      <c r="C42" s="8" t="n"/>
      <c r="D42" s="8" t="n"/>
      <c r="E42" s="8" t="n"/>
      <c r="F42" s="8" t="n"/>
      <c r="G42" s="8" t="n"/>
      <c r="H42" s="8" t="n"/>
      <c r="I42" s="10" t="n"/>
      <c r="J42" s="10" t="n"/>
      <c r="K42" s="10" t="n"/>
    </row>
    <row r="43">
      <c r="A43" s="10" t="inlineStr">
        <is>
          <t>五、酒店客户</t>
        </is>
      </c>
      <c r="B43" s="10" t="inlineStr">
        <is>
          <t>酒店散客</t>
        </is>
      </c>
      <c r="C43" s="8">
        <f>I17</f>
        <v>0.04922969187675069</v>
      </c>
      <c r="D43" s="8">
        <f>SUMIFS('权重计算'!$L$2:$L$383,'权重计算'!$C$2:$C$383,$B17,'权重计算'!$F$2:$F$383,D$2)</f>
        <v>0.017635387488328665</v>
      </c>
      <c r="E43" s="8">
        <f>SUMIFS('权重计算'!$L$2:$L$383,'权重计算'!$C$2:$C$383,$B17,'权重计算'!$F$2:$F$383,E$2)</f>
        <v>0.017635387488328665</v>
      </c>
      <c r="F43" s="8">
        <f>SUMIFS('权重计算'!$L$2:$L$383,'权重计算'!$C$2:$C$383,$B17,'权重计算'!$F$2:$F$383,F$2)</f>
        <v>0.0</v>
      </c>
      <c r="G43" s="8">
        <f>SUMIFS('权重计算'!$L$2:$L$383,'权重计算'!$C$2:$C$383,$B17,'权重计算'!$F$2:$F$383,G$2)</f>
        <v>0.0</v>
      </c>
      <c r="H43" s="8">
        <f>SUMIFS('权重计算'!$L$2:$L$383,'权重计算'!$C$2:$C$383,$B17,'权重计算'!$F$2:$F$383,H$2)</f>
        <v>0.01395891690009337</v>
      </c>
      <c r="I43" s="9">
        <f>IF(I17=0,"",C17-SUMPRODUCT(D17:H17,D43:H43)/I17-J17)</f>
        <v>0.0</v>
      </c>
      <c r="J43" s="10" t="n"/>
      <c r="K43" s="10" t="n"/>
    </row>
    <row r="44">
      <c r="A44" s="10" t="inlineStr">
        <is>
          <t>五、酒店客户</t>
        </is>
      </c>
      <c r="B44" s="10" t="inlineStr">
        <is>
          <t>酒店住宿团队</t>
        </is>
      </c>
      <c r="C44" s="8">
        <f>I18</f>
        <v>0.051069518716577535</v>
      </c>
      <c r="D44" s="8">
        <f>SUMIFS('权重计算'!$L$2:$L$383,'权重计算'!$C$2:$C$383,$B18,'权重计算'!$F$2:$F$383,D$2)</f>
        <v>0.017023172905525845</v>
      </c>
      <c r="E44" s="8">
        <f>SUMIFS('权重计算'!$L$2:$L$383,'权重计算'!$C$2:$C$383,$B18,'权重计算'!$F$2:$F$383,E$2)</f>
        <v>0.017023172905525845</v>
      </c>
      <c r="F44" s="8">
        <f>SUMIFS('权重计算'!$L$2:$L$383,'权重计算'!$C$2:$C$383,$B18,'权重计算'!$F$2:$F$383,F$2)</f>
        <v>0.0</v>
      </c>
      <c r="G44" s="8">
        <f>SUMIFS('权重计算'!$L$2:$L$383,'权重计算'!$C$2:$C$383,$B18,'权重计算'!$F$2:$F$383,G$2)</f>
        <v>0.0</v>
      </c>
      <c r="H44" s="8">
        <f>SUMIFS('权重计算'!$L$2:$L$383,'权重计算'!$C$2:$C$383,$B18,'权重计算'!$F$2:$F$383,H$2)</f>
        <v>0.017023172905525845</v>
      </c>
      <c r="I44" s="9">
        <f>IF(I18=0,"",C18-SUMPRODUCT(D18:H18,D44:H44)/I18-J18)</f>
        <v>0.0</v>
      </c>
      <c r="J44" s="10" t="n"/>
      <c r="K44" s="10" t="n"/>
    </row>
    <row r="45">
      <c r="A45" s="10" t="inlineStr">
        <is>
          <t>五、酒店客户</t>
        </is>
      </c>
      <c r="B45" s="10" t="inlineStr">
        <is>
          <t>酒店参会客户</t>
        </is>
      </c>
      <c r="C45" s="8">
        <f>I19</f>
        <v>0.059998090145148966</v>
      </c>
      <c r="D45" s="8">
        <f>SUMIFS('权重计算'!$L$2:$L$383,'权重计算'!$C$2:$C$383,$B19,'权重计算'!$F$2:$F$383,D$2)</f>
        <v>0.019386618283677107</v>
      </c>
      <c r="E45" s="8">
        <f>SUMIFS('权重计算'!$L$2:$L$383,'权重计算'!$C$2:$C$383,$B19,'权重计算'!$F$2:$F$383,E$2)</f>
        <v>0.019386618283677107</v>
      </c>
      <c r="F45" s="8">
        <f>SUMIFS('权重计算'!$L$2:$L$383,'权重计算'!$C$2:$C$383,$B19,'权重计算'!$F$2:$F$383,F$2)</f>
        <v>0.019386618283677107</v>
      </c>
      <c r="G45" s="8">
        <f>SUMIFS('权重计算'!$L$2:$L$383,'权重计算'!$C$2:$C$383,$B19,'权重计算'!$F$2:$F$383,G$2)</f>
        <v>0.001838235294117647</v>
      </c>
      <c r="H45" s="8">
        <f>SUMIFS('权重计算'!$L$2:$L$383,'权重计算'!$C$2:$C$383,$B19,'权重计算'!$F$2:$F$383,H$2)</f>
        <v>0.0</v>
      </c>
      <c r="I45" s="9">
        <f>IF(I19=0,"",C19-SUMPRODUCT(D19:H19,D45:H45)/I19-J19)</f>
        <v>0.0</v>
      </c>
      <c r="J45" s="10" t="n"/>
      <c r="K45" s="10" t="n"/>
    </row>
    <row r="46">
      <c r="A46" s="10" t="inlineStr">
        <is>
          <t>五、酒店客户</t>
        </is>
      </c>
      <c r="B46" s="10" t="inlineStr">
        <is>
          <t>酒店会议主（承）办</t>
        </is>
      </c>
      <c r="C46" s="8">
        <f>I20</f>
        <v>0.02461484593837535</v>
      </c>
      <c r="D46" s="8">
        <f>SUMIFS('权重计算'!$L$2:$L$383,'权重计算'!$C$2:$C$383,$B20,'权重计算'!$F$2:$F$383,D$2)</f>
        <v>0.0075922035480859</v>
      </c>
      <c r="E46" s="8">
        <f>SUMIFS('权重计算'!$L$2:$L$383,'权重计算'!$C$2:$C$383,$B20,'权重计算'!$F$2:$F$383,E$2)</f>
        <v>0.0075922035480859</v>
      </c>
      <c r="F46" s="8">
        <f>SUMIFS('权重计算'!$L$2:$L$383,'权重计算'!$C$2:$C$383,$B20,'权重计算'!$F$2:$F$383,F$2)</f>
        <v>0.0075922035480859</v>
      </c>
      <c r="G46" s="8">
        <f>SUMIFS('权重计算'!$L$2:$L$383,'权重计算'!$C$2:$C$383,$B20,'权重计算'!$F$2:$F$383,G$2)</f>
        <v>0.001838235294117647</v>
      </c>
      <c r="H46" s="8">
        <f>SUMIFS('权重计算'!$L$2:$L$383,'权重计算'!$C$2:$C$383,$B20,'权重计算'!$F$2:$F$383,H$2)</f>
        <v>0.0</v>
      </c>
      <c r="I46" s="9">
        <f>IF(I20=0,"",C20-SUMPRODUCT(D20:H20,D46:H46)/I20-J20)</f>
        <v>1.7763568394002505e-15</v>
      </c>
      <c r="J46" s="10" t="n"/>
      <c r="K46" s="10" t="n"/>
    </row>
    <row r="47">
      <c r="A47" s="10" t="inlineStr">
        <is>
          <t>五、酒店客户</t>
        </is>
      </c>
      <c r="B47" s="10" t="inlineStr">
        <is>
          <t>酒店餐饮客户</t>
        </is>
      </c>
      <c r="C47" s="8">
        <f>I21</f>
        <v>0.06892666157372039</v>
      </c>
      <c r="D47" s="8">
        <f>SUMIFS('权重计算'!$L$2:$L$383,'权重计算'!$C$2:$C$383,$B21,'权重计算'!$F$2:$F$383,D$2)</f>
        <v>0.0</v>
      </c>
      <c r="E47" s="8">
        <f>SUMIFS('权重计算'!$L$2:$L$383,'权重计算'!$C$2:$C$383,$B21,'权重计算'!$F$2:$F$383,E$2)</f>
        <v>0.034463330786860195</v>
      </c>
      <c r="F47" s="8">
        <f>SUMIFS('权重计算'!$L$2:$L$383,'权重计算'!$C$2:$C$383,$B21,'权重计算'!$F$2:$F$383,F$2)</f>
        <v>0.0</v>
      </c>
      <c r="G47" s="8">
        <f>SUMIFS('权重计算'!$L$2:$L$383,'权重计算'!$C$2:$C$383,$B21,'权重计算'!$F$2:$F$383,G$2)</f>
        <v>0.0</v>
      </c>
      <c r="H47" s="8">
        <f>SUMIFS('权重计算'!$L$2:$L$383,'权重计算'!$C$2:$C$383,$B21,'权重计算'!$F$2:$F$383,H$2)</f>
        <v>0.034463330786860195</v>
      </c>
      <c r="I47" s="9">
        <f>IF(I21=0,"",C21-SUMPRODUCT(D21:H21,D47:H47)/I21-J21)</f>
        <v>0.0</v>
      </c>
      <c r="J47" s="10" t="n"/>
      <c r="K47" s="10" t="n"/>
    </row>
  </sheetData>
  <mergeCells count="8">
    <mergeCell ref="A17:A21"/>
    <mergeCell ref="A2:B2"/>
    <mergeCell ref="A3:A8"/>
    <mergeCell ref="A9:A13"/>
    <mergeCell ref="A14:A15"/>
    <mergeCell ref="A25:K25"/>
    <mergeCell ref="A1:K1"/>
    <mergeCell ref="A22:B22"/>
  </mergeCells>
  <pageMargins left="0.75" right="0.75" top="1" bottom="1" header="0.5" footer="0.5"/>
  <pageSetup orientation="landscape" paperSize="8" fitToHeight="0" fitToWidth="1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 ht="38" customHeight="1">
      <c r="A1" s="14" t="inlineStr">
        <is>
          <t>周期</t>
        </is>
      </c>
      <c r="B1" s="14" t="inlineStr">
        <is>
          <t>数据来源</t>
        </is>
      </c>
      <c r="C1" s="14" t="inlineStr">
        <is>
          <t>总分</t>
        </is>
      </c>
      <c r="D1" s="14" t="inlineStr">
        <is>
          <t>产品服务</t>
        </is>
      </c>
      <c r="E1" s="14" t="inlineStr">
        <is>
          <t>硬件设施</t>
        </is>
      </c>
      <c r="F1" s="14" t="inlineStr">
        <is>
          <t>配套服务</t>
        </is>
      </c>
      <c r="G1" s="14" t="inlineStr">
        <is>
          <t>智慧场馆/服务</t>
        </is>
      </c>
      <c r="H1" s="14" t="inlineStr">
        <is>
          <t>餐饮服务</t>
        </is>
      </c>
      <c r="I1" s="14" t="inlineStr">
        <is>
          <t>有效客户类型数</t>
        </is>
      </c>
      <c r="J1" s="14" t="inlineStr">
        <is>
          <t>类型总分均值</t>
        </is>
      </c>
      <c r="K1" s="14" t="inlineStr">
        <is>
          <t>周期舍入差额</t>
        </is>
      </c>
      <c r="L1" s="14" t="inlineStr">
        <is>
          <t>周期权重</t>
        </is>
      </c>
      <c r="M1" s="14" t="inlineStr">
        <is>
          <t>周期总分贡献</t>
        </is>
      </c>
      <c r="N1" s="14" t="inlineStr">
        <is>
          <t>周期舍入贡献</t>
        </is>
      </c>
      <c r="O1" s="14" t="inlineStr">
        <is>
          <t>历史保存总分</t>
        </is>
      </c>
      <c r="P1" s="14" t="inlineStr">
        <is>
          <t>重算与历史差异</t>
        </is>
      </c>
    </row>
    <row r="2">
      <c r="A2" s="15" t="inlineStr">
        <is>
          <t>1-2月</t>
        </is>
      </c>
      <c r="B2" s="15" t="inlineStr">
        <is>
          <t>原始数据重算</t>
        </is>
      </c>
      <c r="C2" s="16">
        <f>ROUND(J2,2)</f>
        <v>9.73</v>
      </c>
      <c r="D2" s="17" t="n">
        <v>9.859999999999999</v>
      </c>
      <c r="E2" s="17" t="n">
        <v>9.619999999999999</v>
      </c>
      <c r="F2" s="17" t="n">
        <v>9.67</v>
      </c>
      <c r="G2" s="17" t="n">
        <v>8.75</v>
      </c>
      <c r="H2" s="17" t="n">
        <v>9.76</v>
      </c>
      <c r="I2" s="17" t="n">
        <v>11</v>
      </c>
      <c r="J2" s="17">
        <f>SUMIFS('权重计算'!$W$2:$W$119,'权重计算'!$Q$2:$Q$119,A2)/L2</f>
        <v>9.728181818181818</v>
      </c>
      <c r="K2" s="17">
        <f>C2-J2</f>
        <v>0.001818181818181941</v>
      </c>
      <c r="L2" s="17" t="n">
        <v>0.125</v>
      </c>
      <c r="M2" s="17">
        <f>C2*L2</f>
        <v>1.21625</v>
      </c>
      <c r="N2" s="17">
        <f>K2*L2</f>
        <v>0.00022727272727274261</v>
      </c>
      <c r="O2" s="17" t="n">
        <v>9.720000000000001</v>
      </c>
      <c r="P2" s="17">
        <f>C2-O2</f>
        <v>0.009999999999999787</v>
      </c>
    </row>
    <row r="3">
      <c r="A3" s="15" t="inlineStr">
        <is>
          <t>3月</t>
        </is>
      </c>
      <c r="B3" s="15" t="inlineStr">
        <is>
          <t>原始数据重算</t>
        </is>
      </c>
      <c r="C3" s="16">
        <f>ROUND(J3,2)</f>
        <v>9.57</v>
      </c>
      <c r="D3" s="17" t="n">
        <v>9.949999999999999</v>
      </c>
      <c r="E3" s="17" t="n">
        <v>9.32</v>
      </c>
      <c r="F3" s="17" t="n">
        <v>9.48</v>
      </c>
      <c r="G3" s="15" t="n"/>
      <c r="H3" s="17" t="n">
        <v>9.289999999999999</v>
      </c>
      <c r="I3" s="17" t="n">
        <v>17</v>
      </c>
      <c r="J3" s="17">
        <f>SUMIFS('权重计算'!$W$2:$W$119,'权重计算'!$Q$2:$Q$119,A3)/L3</f>
        <v>9.57235294117647</v>
      </c>
      <c r="K3" s="17">
        <f>C3-J3</f>
        <v>-0.0023529411764702246</v>
      </c>
      <c r="L3" s="17" t="n">
        <v>0.125</v>
      </c>
      <c r="M3" s="17">
        <f>C3*L3</f>
        <v>1.19625</v>
      </c>
      <c r="N3" s="17">
        <f>K3*L3</f>
        <v>-0.0002941176470587781</v>
      </c>
      <c r="O3" s="17" t="n">
        <v>9.57</v>
      </c>
      <c r="P3" s="17">
        <f>C3-O3</f>
        <v>0.0</v>
      </c>
    </row>
    <row r="4">
      <c r="A4" s="15" t="inlineStr">
        <is>
          <t>4月</t>
        </is>
      </c>
      <c r="B4" s="15" t="inlineStr">
        <is>
          <t>原始数据重算</t>
        </is>
      </c>
      <c r="C4" s="16">
        <f>ROUND(J4,2)</f>
        <v>9.61</v>
      </c>
      <c r="D4" s="17" t="n">
        <v>9.960000000000001</v>
      </c>
      <c r="E4" s="17" t="n">
        <v>9.33</v>
      </c>
      <c r="F4" s="17" t="n">
        <v>9.73</v>
      </c>
      <c r="G4" s="15" t="n"/>
      <c r="H4" s="17" t="n">
        <v>9.42</v>
      </c>
      <c r="I4" s="17" t="n">
        <v>14</v>
      </c>
      <c r="J4" s="17">
        <f>SUMIFS('权重计算'!$W$2:$W$119,'权重计算'!$Q$2:$Q$119,A4)/L4</f>
        <v>9.612857142857143</v>
      </c>
      <c r="K4" s="17">
        <f>C4-J4</f>
        <v>-0.0028571428571435575</v>
      </c>
      <c r="L4" s="17" t="n">
        <v>0.125</v>
      </c>
      <c r="M4" s="17">
        <f>C4*L4</f>
        <v>1.20125</v>
      </c>
      <c r="N4" s="17">
        <f>K4*L4</f>
        <v>-0.0003571428571429447</v>
      </c>
      <c r="O4" s="17" t="n">
        <v>9.609999999999999</v>
      </c>
      <c r="P4" s="17">
        <f>C4-O4</f>
        <v>0.0</v>
      </c>
    </row>
    <row r="5">
      <c r="A5" s="15" t="inlineStr">
        <is>
          <t>5月</t>
        </is>
      </c>
      <c r="B5" s="15" t="inlineStr">
        <is>
          <t>原始数据重算</t>
        </is>
      </c>
      <c r="C5" s="16">
        <f>ROUND(J5,2)</f>
        <v>9.81</v>
      </c>
      <c r="D5" s="17" t="n">
        <v>9.98</v>
      </c>
      <c r="E5" s="17" t="n">
        <v>9.67</v>
      </c>
      <c r="F5" s="17" t="n">
        <v>9.859999999999999</v>
      </c>
      <c r="G5" s="15" t="n"/>
      <c r="H5" s="17" t="n">
        <v>9.699999999999999</v>
      </c>
      <c r="I5" s="17" t="n">
        <v>15</v>
      </c>
      <c r="J5" s="17">
        <f>SUMIFS('权重计算'!$W$2:$W$119,'权重计算'!$Q$2:$Q$119,A5)/L5</f>
        <v>9.81</v>
      </c>
      <c r="K5" s="17">
        <f>C5-J5</f>
        <v>0.0</v>
      </c>
      <c r="L5" s="17" t="n">
        <v>0.125</v>
      </c>
      <c r="M5" s="17">
        <f>C5*L5</f>
        <v>1.22625</v>
      </c>
      <c r="N5" s="17">
        <f>K5*L5</f>
        <v>0.0</v>
      </c>
      <c r="O5" s="17" t="n">
        <v>9.81</v>
      </c>
      <c r="P5" s="17">
        <f>C5-O5</f>
        <v>0.0</v>
      </c>
    </row>
    <row r="6">
      <c r="A6" s="15" t="inlineStr">
        <is>
          <t>6月</t>
        </is>
      </c>
      <c r="B6" s="15" t="inlineStr">
        <is>
          <t>原始数据重算</t>
        </is>
      </c>
      <c r="C6" s="16">
        <f>ROUND(J6,2)</f>
        <v>9.74</v>
      </c>
      <c r="D6" s="17" t="n">
        <v>9.949999999999999</v>
      </c>
      <c r="E6" s="17" t="n">
        <v>9.630000000000001</v>
      </c>
      <c r="F6" s="17" t="n">
        <v>9.68</v>
      </c>
      <c r="G6" s="17" t="n">
        <v>9.67</v>
      </c>
      <c r="H6" s="17" t="n">
        <v>9.369999999999999</v>
      </c>
      <c r="I6" s="17" t="n">
        <v>17</v>
      </c>
      <c r="J6" s="17">
        <f>SUMIFS('权重计算'!$W$2:$W$119,'权重计算'!$Q$2:$Q$119,A6)/L6</f>
        <v>9.74470588235294</v>
      </c>
      <c r="K6" s="17">
        <f>C6-J6</f>
        <v>-0.004705882352940449</v>
      </c>
      <c r="L6" s="17" t="n">
        <v>0.125</v>
      </c>
      <c r="M6" s="17">
        <f>C6*L6</f>
        <v>1.2175</v>
      </c>
      <c r="N6" s="17">
        <f>K6*L6</f>
        <v>-0.0005882352941175562</v>
      </c>
      <c r="O6" s="17" t="n">
        <v>9.74</v>
      </c>
      <c r="P6" s="17">
        <f>C6-O6</f>
        <v>0.0</v>
      </c>
    </row>
    <row r="7">
      <c r="A7" s="15" t="inlineStr">
        <is>
          <t>7月</t>
        </is>
      </c>
      <c r="B7" s="15" t="inlineStr">
        <is>
          <t>原始数据重算</t>
        </is>
      </c>
      <c r="C7" s="16">
        <f>ROUND(J7,2)</f>
        <v>9.76</v>
      </c>
      <c r="D7" s="17" t="n">
        <v>9.98</v>
      </c>
      <c r="E7" s="17" t="n">
        <v>9.539999999999999</v>
      </c>
      <c r="F7" s="17" t="n">
        <v>9.960000000000001</v>
      </c>
      <c r="G7" s="17" t="n">
        <v>9.880000000000001</v>
      </c>
      <c r="H7" s="17" t="n">
        <v>9.75</v>
      </c>
      <c r="I7" s="17" t="n">
        <v>15</v>
      </c>
      <c r="J7" s="17">
        <f>SUMIFS('权重计算'!$W$2:$W$119,'权重计算'!$Q$2:$Q$119,A7)/L7</f>
        <v>9.762666666666666</v>
      </c>
      <c r="K7" s="17">
        <f>C7-J7</f>
        <v>-0.002666666666666373</v>
      </c>
      <c r="L7" s="17" t="n">
        <v>0.125</v>
      </c>
      <c r="M7" s="17">
        <f>C7*L7</f>
        <v>1.22</v>
      </c>
      <c r="N7" s="17">
        <f>K7*L7</f>
        <v>-0.0003333333333332966</v>
      </c>
      <c r="O7" s="17" t="n">
        <v>9.76</v>
      </c>
      <c r="P7" s="17">
        <f>C7-O7</f>
        <v>0.0</v>
      </c>
    </row>
    <row r="8">
      <c r="A8" s="15" t="inlineStr">
        <is>
          <t>8月</t>
        </is>
      </c>
      <c r="B8" s="15" t="inlineStr">
        <is>
          <t>原始数据重算</t>
        </is>
      </c>
      <c r="C8" s="16">
        <f>ROUND(J8,2)</f>
        <v>9.76</v>
      </c>
      <c r="D8" s="17" t="n">
        <v>9.960000000000001</v>
      </c>
      <c r="E8" s="17" t="n">
        <v>9.619999999999999</v>
      </c>
      <c r="F8" s="17" t="n">
        <v>9.82</v>
      </c>
      <c r="G8" s="17" t="n">
        <v>9.67</v>
      </c>
      <c r="H8" s="17" t="n">
        <v>9.52</v>
      </c>
      <c r="I8" s="17" t="n">
        <v>15</v>
      </c>
      <c r="J8" s="17">
        <f>SUMIFS('权重计算'!$W$2:$W$119,'权重计算'!$Q$2:$Q$119,A8)/L8</f>
        <v>9.764000000000001</v>
      </c>
      <c r="K8" s="17">
        <f>C8-J8</f>
        <v>-0.004000000000001336</v>
      </c>
      <c r="L8" s="17" t="n">
        <v>0.125</v>
      </c>
      <c r="M8" s="17">
        <f>C8*L8</f>
        <v>1.22</v>
      </c>
      <c r="N8" s="17">
        <f>K8*L8</f>
        <v>-0.000500000000000167</v>
      </c>
      <c r="O8" s="17" t="n">
        <v>9.76</v>
      </c>
      <c r="P8" s="17">
        <f>C8-O8</f>
        <v>0.0</v>
      </c>
    </row>
    <row r="9">
      <c r="A9" s="15" t="inlineStr">
        <is>
          <t>9月</t>
        </is>
      </c>
      <c r="B9" s="15" t="inlineStr">
        <is>
          <t>原始数据重算</t>
        </is>
      </c>
      <c r="C9" s="16">
        <f>ROUND(J9,2)</f>
        <v>9.7</v>
      </c>
      <c r="D9" s="17" t="n">
        <v>9.83</v>
      </c>
      <c r="E9" s="17" t="n">
        <v>9.68</v>
      </c>
      <c r="F9" s="17" t="n">
        <v>9.59</v>
      </c>
      <c r="G9" s="17" t="n">
        <v>9.48</v>
      </c>
      <c r="H9" s="17" t="n">
        <v>9.289999999999999</v>
      </c>
      <c r="I9" s="17" t="n">
        <v>14</v>
      </c>
      <c r="J9" s="17">
        <f>SUMIFS('权重计算'!$W$2:$W$119,'权重计算'!$Q$2:$Q$119,A9)/L9</f>
        <v>9.700714285714286</v>
      </c>
      <c r="K9" s="17">
        <f>C9-J9</f>
        <v>-0.0007142857142863335</v>
      </c>
      <c r="L9" s="17" t="n">
        <v>0.125</v>
      </c>
      <c r="M9" s="17">
        <f>C9*L9</f>
        <v>1.2125</v>
      </c>
      <c r="N9" s="17">
        <f>K9*L9</f>
        <v>-8.928571428579168e-05</v>
      </c>
      <c r="O9" s="17" t="n">
        <v>9.699999999999999</v>
      </c>
      <c r="P9" s="17">
        <f>C9-O9</f>
        <v>0.0</v>
      </c>
    </row>
    <row r="10">
      <c r="A10" s="15" t="inlineStr">
        <is>
          <t>各期列总分均值</t>
        </is>
      </c>
      <c r="B10" s="15" t="n"/>
      <c r="C10" s="16">
        <f>AVERAGE(C2:C9)</f>
        <v>9.71</v>
      </c>
      <c r="D10" s="17">
        <f>AVERAGE(D2:D9)</f>
        <v>9.93375</v>
      </c>
      <c r="E10" s="17">
        <f>AVERAGE(E2:E9)</f>
        <v>9.55125</v>
      </c>
      <c r="F10" s="17">
        <f>AVERAGE(F2:F9)</f>
        <v>9.72375</v>
      </c>
      <c r="G10" s="17">
        <f>AVERAGE(G2:G9)</f>
        <v>9.49</v>
      </c>
      <c r="H10" s="17">
        <f>AVERAGE(H2:H9)</f>
        <v>9.5125</v>
      </c>
      <c r="I10" s="15" t="n"/>
      <c r="J10" s="15" t="n"/>
      <c r="K10" s="15" t="n"/>
      <c r="L10" s="15" t="n"/>
      <c r="M10" s="15" t="n"/>
      <c r="N10" s="15" t="n"/>
      <c r="O10" s="15" t="n"/>
      <c r="P10" s="15" t="n"/>
    </row>
  </sheetData>
  <autoFilter ref="A1:P10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8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38" customHeight="1">
      <c r="A1" s="14" t="inlineStr">
        <is>
          <t>周期</t>
        </is>
      </c>
      <c r="B1" s="14" t="inlineStr">
        <is>
          <t>客户大类</t>
        </is>
      </c>
      <c r="C1" s="14" t="inlineStr">
        <is>
          <t>样本类型</t>
        </is>
      </c>
      <c r="D1" s="14" t="inlineStr">
        <is>
          <t>来源组件</t>
        </is>
      </c>
      <c r="E1" s="14" t="inlineStr">
        <is>
          <t>一级指标或子项</t>
        </is>
      </c>
      <c r="F1" s="14" t="inlineStr">
        <is>
          <t>展示列</t>
        </is>
      </c>
      <c r="G1" s="14" t="inlineStr">
        <is>
          <t>单期得分</t>
        </is>
      </c>
      <c r="H1" s="14" t="inlineStr">
        <is>
          <t>周期权重</t>
        </is>
      </c>
      <c r="I1" s="14" t="inlineStr">
        <is>
          <t>期内类型权重</t>
        </is>
      </c>
      <c r="J1" s="14" t="inlineStr">
        <is>
          <t>组件权重</t>
        </is>
      </c>
      <c r="K1" s="14" t="inlineStr">
        <is>
          <t>一级指标权重</t>
        </is>
      </c>
      <c r="L1" s="14" t="inlineStr">
        <is>
          <t>累计计分权重</t>
        </is>
      </c>
      <c r="M1" s="14" t="inlineStr">
        <is>
          <t>得分贡献</t>
        </is>
      </c>
      <c r="N1" s="14" t="inlineStr">
        <is>
          <t>展示权重</t>
        </is>
      </c>
      <c r="O1" s="14" t="inlineStr">
        <is>
          <t>展示贡献</t>
        </is>
      </c>
      <c r="P1" s="14" t="n"/>
      <c r="Q1" s="14" t="inlineStr">
        <is>
          <t>周期</t>
        </is>
      </c>
      <c r="R1" s="14" t="inlineStr">
        <is>
          <t>样本类型</t>
        </is>
      </c>
      <c r="S1" s="14" t="inlineStr">
        <is>
          <t>单期类型总分</t>
        </is>
      </c>
      <c r="T1" s="14" t="inlineStr">
        <is>
          <t>一级指标重建总分</t>
        </is>
      </c>
      <c r="U1" s="14" t="inlineStr">
        <is>
          <t>类型舍入差额</t>
        </is>
      </c>
      <c r="V1" s="14" t="inlineStr">
        <is>
          <t>累计类型权重</t>
        </is>
      </c>
      <c r="W1" s="14" t="inlineStr">
        <is>
          <t>类型总分贡献</t>
        </is>
      </c>
      <c r="X1" s="14" t="inlineStr">
        <is>
          <t>类型舍入贡献</t>
        </is>
      </c>
    </row>
    <row r="2">
      <c r="A2" s="15" t="inlineStr">
        <is>
          <t>1-2月</t>
        </is>
      </c>
      <c r="B2" s="15" t="inlineStr">
        <is>
          <t>一、会展客户</t>
        </is>
      </c>
      <c r="C2" s="15" t="inlineStr">
        <is>
          <t>展览活动主（承）办</t>
        </is>
      </c>
      <c r="D2" s="15" t="inlineStr">
        <is>
          <t>展览主承办</t>
        </is>
      </c>
      <c r="E2" s="15" t="inlineStr">
        <is>
          <t>会展服务</t>
        </is>
      </c>
      <c r="F2" s="15" t="inlineStr">
        <is>
          <t>产品服务</t>
        </is>
      </c>
      <c r="G2" s="17" t="n">
        <v>9.33</v>
      </c>
      <c r="H2" s="17" t="n">
        <v>0.125</v>
      </c>
      <c r="I2" s="17" t="n">
        <v>0.09090909090909091</v>
      </c>
      <c r="J2" s="17" t="n">
        <v>1</v>
      </c>
      <c r="K2" s="17" t="n">
        <v>0.25</v>
      </c>
      <c r="L2" s="17">
        <f>PRODUCT(H2:K2)</f>
        <v>0.002840909090909091</v>
      </c>
      <c r="M2" s="17">
        <f>G2*L2</f>
        <v>0.02650568181818182</v>
      </c>
      <c r="N2" s="17">
        <f>IF(K2=0,H2*I2,L2)</f>
        <v>0.002840909090909091</v>
      </c>
      <c r="O2" s="17">
        <f>G2*N2</f>
        <v>0.02650568181818182</v>
      </c>
      <c r="P2" s="15" t="n"/>
      <c r="Q2" s="15" t="inlineStr">
        <is>
          <t>1-2月</t>
        </is>
      </c>
      <c r="R2" s="15" t="inlineStr">
        <is>
          <t>展览活动主（承）办</t>
        </is>
      </c>
      <c r="S2" s="17" t="n">
        <v>9.140000000000001</v>
      </c>
      <c r="T2" s="17">
        <f>SUMIFS($M$2:$M$383,$A$2:$A$383,Q2,$C$2:$C$383,R2)/V2</f>
        <v>9.135000000000002</v>
      </c>
      <c r="U2" s="17">
        <f>S2-T2</f>
        <v>0.004999999999999005</v>
      </c>
      <c r="V2" s="17" t="n">
        <v>0.01136363636363636</v>
      </c>
      <c r="W2" s="17">
        <f>S2*V2</f>
        <v>0.10386363636363637</v>
      </c>
      <c r="X2" s="17">
        <f>U2*V2</f>
        <v>5.6818181818170515e-05</v>
      </c>
    </row>
    <row r="3">
      <c r="A3" s="15" t="inlineStr">
        <is>
          <t>1-2月</t>
        </is>
      </c>
      <c r="B3" s="15" t="inlineStr">
        <is>
          <t>一、会展客户</t>
        </is>
      </c>
      <c r="C3" s="15" t="inlineStr">
        <is>
          <t>展览活动主（承）办</t>
        </is>
      </c>
      <c r="D3" s="15" t="inlineStr">
        <is>
          <t>展览主承办</t>
        </is>
      </c>
      <c r="E3" s="15" t="inlineStr">
        <is>
          <t>硬件设施</t>
        </is>
      </c>
      <c r="F3" s="15" t="inlineStr">
        <is>
          <t>硬件设施</t>
        </is>
      </c>
      <c r="G3" s="17" t="n">
        <v>9.710000000000001</v>
      </c>
      <c r="H3" s="17" t="n">
        <v>0.125</v>
      </c>
      <c r="I3" s="17" t="n">
        <v>0.09090909090909091</v>
      </c>
      <c r="J3" s="17" t="n">
        <v>1</v>
      </c>
      <c r="K3" s="17" t="n">
        <v>0.25</v>
      </c>
      <c r="L3" s="17">
        <f>PRODUCT(H3:K3)</f>
        <v>0.002840909090909091</v>
      </c>
      <c r="M3" s="17">
        <f>G3*L3</f>
        <v>0.027585227272727275</v>
      </c>
      <c r="N3" s="17">
        <f>IF(K3=0,H3*I3,L3)</f>
        <v>0.002840909090909091</v>
      </c>
      <c r="O3" s="17">
        <f>G3*N3</f>
        <v>0.027585227272727275</v>
      </c>
      <c r="P3" s="15" t="n"/>
      <c r="Q3" s="15" t="inlineStr">
        <is>
          <t>1-2月</t>
        </is>
      </c>
      <c r="R3" s="15" t="inlineStr">
        <is>
          <t>参展商</t>
        </is>
      </c>
      <c r="S3" s="17" t="n">
        <v>9.65</v>
      </c>
      <c r="T3" s="17">
        <f>SUMIFS($M$2:$M$383,$A$2:$A$383,Q3,$C$2:$C$383,R3)/V3</f>
        <v>9.65</v>
      </c>
      <c r="U3" s="17">
        <f>S3-T3</f>
        <v>0.0</v>
      </c>
      <c r="V3" s="17" t="n">
        <v>0.01136363636363636</v>
      </c>
      <c r="W3" s="17">
        <f>S3*V3</f>
        <v>0.10965909090909091</v>
      </c>
      <c r="X3" s="17">
        <f>U3*V3</f>
        <v>0.0</v>
      </c>
    </row>
    <row r="4">
      <c r="A4" s="15" t="inlineStr">
        <is>
          <t>1-2月</t>
        </is>
      </c>
      <c r="B4" s="15" t="inlineStr">
        <is>
          <t>一、会展客户</t>
        </is>
      </c>
      <c r="C4" s="15" t="inlineStr">
        <is>
          <t>展览活动主（承）办</t>
        </is>
      </c>
      <c r="D4" s="15" t="inlineStr">
        <is>
          <t>展览主承办</t>
        </is>
      </c>
      <c r="E4" s="15" t="inlineStr">
        <is>
          <t>配套服务</t>
        </is>
      </c>
      <c r="F4" s="15" t="inlineStr">
        <is>
          <t>配套服务</t>
        </is>
      </c>
      <c r="G4" s="17" t="n">
        <v>9</v>
      </c>
      <c r="H4" s="17" t="n">
        <v>0.125</v>
      </c>
      <c r="I4" s="17" t="n">
        <v>0.09090909090909091</v>
      </c>
      <c r="J4" s="17" t="n">
        <v>1</v>
      </c>
      <c r="K4" s="17" t="n">
        <v>0.25</v>
      </c>
      <c r="L4" s="17">
        <f>PRODUCT(H4:K4)</f>
        <v>0.002840909090909091</v>
      </c>
      <c r="M4" s="17">
        <f>G4*L4</f>
        <v>0.02556818181818182</v>
      </c>
      <c r="N4" s="17">
        <f>IF(K4=0,H4*I4,L4)</f>
        <v>0.002840909090909091</v>
      </c>
      <c r="O4" s="17">
        <f>G4*N4</f>
        <v>0.02556818181818182</v>
      </c>
      <c r="P4" s="15" t="n"/>
      <c r="Q4" s="15" t="inlineStr">
        <is>
          <t>1-2月</t>
        </is>
      </c>
      <c r="R4" s="15" t="inlineStr">
        <is>
          <t>专业观众</t>
        </is>
      </c>
      <c r="S4" s="17" t="n">
        <v>9.77</v>
      </c>
      <c r="T4" s="17">
        <f>SUMIFS($M$2:$M$383,$A$2:$A$383,Q4,$C$2:$C$383,R4)/V4</f>
        <v>9.773333333333332</v>
      </c>
      <c r="U4" s="17">
        <f>S4-T4</f>
        <v>-0.003333333333332078</v>
      </c>
      <c r="V4" s="17" t="n">
        <v>0.01136363636363636</v>
      </c>
      <c r="W4" s="17">
        <f>S4*V4</f>
        <v>0.11102272727272727</v>
      </c>
      <c r="X4" s="17">
        <f>U4*V4</f>
        <v>-3.7878787878773615e-05</v>
      </c>
    </row>
    <row r="5">
      <c r="A5" s="15" t="inlineStr">
        <is>
          <t>1-2月</t>
        </is>
      </c>
      <c r="B5" s="15" t="inlineStr">
        <is>
          <t>一、会展客户</t>
        </is>
      </c>
      <c r="C5" s="15" t="inlineStr">
        <is>
          <t>展览活动主（承）办</t>
        </is>
      </c>
      <c r="D5" s="15" t="inlineStr">
        <is>
          <t>展览主承办</t>
        </is>
      </c>
      <c r="E5" s="15" t="inlineStr">
        <is>
          <t>智慧场馆</t>
        </is>
      </c>
      <c r="F5" s="15" t="inlineStr">
        <is>
          <t>智慧场馆/服务</t>
        </is>
      </c>
      <c r="G5" s="17" t="n">
        <v>8.5</v>
      </c>
      <c r="H5" s="17" t="n">
        <v>0.125</v>
      </c>
      <c r="I5" s="17" t="n">
        <v>0.09090909090909091</v>
      </c>
      <c r="J5" s="17" t="n">
        <v>1</v>
      </c>
      <c r="K5" s="17" t="n">
        <v>0.25</v>
      </c>
      <c r="L5" s="17">
        <f>PRODUCT(H5:K5)</f>
        <v>0.002840909090909091</v>
      </c>
      <c r="M5" s="17">
        <f>G5*L5</f>
        <v>0.024147727272727272</v>
      </c>
      <c r="N5" s="17">
        <f>IF(K5=0,H5*I5,L5)</f>
        <v>0.002840909090909091</v>
      </c>
      <c r="O5" s="17">
        <f>G5*N5</f>
        <v>0.024147727272727272</v>
      </c>
      <c r="P5" s="15" t="n"/>
      <c r="Q5" s="15" t="inlineStr">
        <is>
          <t>1-2月</t>
        </is>
      </c>
      <c r="R5" s="15" t="inlineStr">
        <is>
          <t>会议活动主（承）办</t>
        </is>
      </c>
      <c r="S5" s="17" t="n">
        <v>9.470000000000001</v>
      </c>
      <c r="T5" s="17">
        <f>SUMIFS($M$2:$M$383,$A$2:$A$383,Q5,$C$2:$C$383,R5)/V5</f>
        <v>9.4725</v>
      </c>
      <c r="U5" s="17">
        <f>S5-T5</f>
        <v>-0.0024999999999995026</v>
      </c>
      <c r="V5" s="17" t="n">
        <v>0.01136363636363636</v>
      </c>
      <c r="W5" s="17">
        <f>S5*V5</f>
        <v>0.10761363636363637</v>
      </c>
      <c r="X5" s="17">
        <f>U5*V5</f>
        <v>-2.8409090909085258e-05</v>
      </c>
    </row>
    <row r="6">
      <c r="A6" s="15" t="inlineStr">
        <is>
          <t>1-2月</t>
        </is>
      </c>
      <c r="B6" s="15" t="inlineStr">
        <is>
          <t>一、会展客户</t>
        </is>
      </c>
      <c r="C6" s="15" t="inlineStr">
        <is>
          <t>参展商</t>
        </is>
      </c>
      <c r="D6" s="15" t="inlineStr">
        <is>
          <t>参展商</t>
        </is>
      </c>
      <c r="E6" s="15" t="inlineStr">
        <is>
          <t>会场服务</t>
        </is>
      </c>
      <c r="F6" s="15" t="inlineStr">
        <is>
          <t>产品服务</t>
        </is>
      </c>
      <c r="G6" s="17" t="n">
        <v>9.99</v>
      </c>
      <c r="H6" s="17" t="n">
        <v>0.125</v>
      </c>
      <c r="I6" s="17" t="n">
        <v>0.09090909090909091</v>
      </c>
      <c r="J6" s="17" t="n">
        <v>1</v>
      </c>
      <c r="K6" s="17" t="n">
        <v>0.3333333333333333</v>
      </c>
      <c r="L6" s="17">
        <f>PRODUCT(H6:K6)</f>
        <v>0.003787878787878788</v>
      </c>
      <c r="M6" s="17">
        <f>G6*L6</f>
        <v>0.03784090909090909</v>
      </c>
      <c r="N6" s="17">
        <f>IF(K6=0,H6*I6,L6)</f>
        <v>0.003787878787878788</v>
      </c>
      <c r="O6" s="17">
        <f>G6*N6</f>
        <v>0.03784090909090909</v>
      </c>
      <c r="P6" s="15" t="n"/>
      <c r="Q6" s="15" t="inlineStr">
        <is>
          <t>1-2月</t>
        </is>
      </c>
      <c r="R6" s="15" t="inlineStr">
        <is>
          <t>参会客户</t>
        </is>
      </c>
      <c r="S6" s="17" t="n">
        <v>9.81</v>
      </c>
      <c r="T6" s="17">
        <f>SUMIFS($M$2:$M$383,$A$2:$A$383,Q6,$C$2:$C$383,R6)/V6</f>
        <v>9.813333333333333</v>
      </c>
      <c r="U6" s="17">
        <f>S6-T6</f>
        <v>-0.003333333333332078</v>
      </c>
      <c r="V6" s="17" t="n">
        <v>0.01136363636363636</v>
      </c>
      <c r="W6" s="17">
        <f>S6*V6</f>
        <v>0.11147727272727273</v>
      </c>
      <c r="X6" s="17">
        <f>U6*V6</f>
        <v>-3.7878787878773615e-05</v>
      </c>
    </row>
    <row r="7">
      <c r="A7" s="15" t="inlineStr">
        <is>
          <t>1-2月</t>
        </is>
      </c>
      <c r="B7" s="15" t="inlineStr">
        <is>
          <t>一、会展客户</t>
        </is>
      </c>
      <c r="C7" s="15" t="inlineStr">
        <is>
          <t>参展商</t>
        </is>
      </c>
      <c r="D7" s="15" t="inlineStr">
        <is>
          <t>参展商</t>
        </is>
      </c>
      <c r="E7" s="15" t="inlineStr">
        <is>
          <t>硬件设施</t>
        </is>
      </c>
      <c r="F7" s="15" t="inlineStr">
        <is>
          <t>硬件设施</t>
        </is>
      </c>
      <c r="G7" s="17" t="n">
        <v>9.130000000000001</v>
      </c>
      <c r="H7" s="17" t="n">
        <v>0.125</v>
      </c>
      <c r="I7" s="17" t="n">
        <v>0.09090909090909091</v>
      </c>
      <c r="J7" s="17" t="n">
        <v>1</v>
      </c>
      <c r="K7" s="17" t="n">
        <v>0.3333333333333333</v>
      </c>
      <c r="L7" s="17">
        <f>PRODUCT(H7:K7)</f>
        <v>0.003787878787878788</v>
      </c>
      <c r="M7" s="17">
        <f>G7*L7</f>
        <v>0.034583333333333334</v>
      </c>
      <c r="N7" s="17">
        <f>IF(K7=0,H7*I7,L7)</f>
        <v>0.003787878787878788</v>
      </c>
      <c r="O7" s="17">
        <f>G7*N7</f>
        <v>0.034583333333333334</v>
      </c>
      <c r="P7" s="15" t="n"/>
      <c r="Q7" s="15" t="inlineStr">
        <is>
          <t>1-2月</t>
        </is>
      </c>
      <c r="R7" s="15" t="inlineStr">
        <is>
          <t>商务简餐</t>
        </is>
      </c>
      <c r="S7" s="17" t="n">
        <v>9.58</v>
      </c>
      <c r="T7" s="17">
        <f>SUMIFS($M$2:$M$383,$A$2:$A$383,Q7,$C$2:$C$383,R7)/V7</f>
        <v>9.575</v>
      </c>
      <c r="U7" s="17">
        <f>S7-T7</f>
        <v>0.005000000000000782</v>
      </c>
      <c r="V7" s="17" t="n">
        <v>0.01136363636363636</v>
      </c>
      <c r="W7" s="17">
        <f>S7*V7</f>
        <v>0.10886363636363637</v>
      </c>
      <c r="X7" s="17">
        <f>U7*V7</f>
        <v>5.68181818181907e-05</v>
      </c>
    </row>
    <row r="8">
      <c r="A8" s="15" t="inlineStr">
        <is>
          <t>1-2月</t>
        </is>
      </c>
      <c r="B8" s="15" t="inlineStr">
        <is>
          <t>一、会展客户</t>
        </is>
      </c>
      <c r="C8" s="15" t="inlineStr">
        <is>
          <t>参展商</t>
        </is>
      </c>
      <c r="D8" s="15" t="inlineStr">
        <is>
          <t>参展商</t>
        </is>
      </c>
      <c r="E8" s="15" t="inlineStr">
        <is>
          <t>配套服务</t>
        </is>
      </c>
      <c r="F8" s="15" t="inlineStr">
        <is>
          <t>配套服务</t>
        </is>
      </c>
      <c r="G8" s="17" t="n">
        <v>9.83</v>
      </c>
      <c r="H8" s="17" t="n">
        <v>0.125</v>
      </c>
      <c r="I8" s="17" t="n">
        <v>0.09090909090909091</v>
      </c>
      <c r="J8" s="17" t="n">
        <v>1</v>
      </c>
      <c r="K8" s="17" t="n">
        <v>0.3333333333333333</v>
      </c>
      <c r="L8" s="17">
        <f>PRODUCT(H8:K8)</f>
        <v>0.003787878787878788</v>
      </c>
      <c r="M8" s="17">
        <f>G8*L8</f>
        <v>0.03723484848484849</v>
      </c>
      <c r="N8" s="17">
        <f>IF(K8=0,H8*I8,L8)</f>
        <v>0.003787878787878788</v>
      </c>
      <c r="O8" s="17">
        <f>G8*N8</f>
        <v>0.03723484848484849</v>
      </c>
      <c r="P8" s="15" t="n"/>
      <c r="Q8" s="15" t="inlineStr">
        <is>
          <t>1-2月</t>
        </is>
      </c>
      <c r="R8" s="15" t="inlineStr">
        <is>
          <t>自助餐</t>
        </is>
      </c>
      <c r="S8" s="17" t="n">
        <v>10</v>
      </c>
      <c r="T8" s="17">
        <f>SUMIFS($M$2:$M$383,$A$2:$A$383,Q8,$C$2:$C$383,R8)/V8</f>
        <v>10.0</v>
      </c>
      <c r="U8" s="17">
        <f>S8-T8</f>
        <v>0.0</v>
      </c>
      <c r="V8" s="17" t="n">
        <v>0.01136363636363636</v>
      </c>
      <c r="W8" s="17">
        <f>S8*V8</f>
        <v>0.11363636363636365</v>
      </c>
      <c r="X8" s="17">
        <f>U8*V8</f>
        <v>0.0</v>
      </c>
    </row>
    <row r="9">
      <c r="A9" s="15" t="inlineStr">
        <is>
          <t>1-2月</t>
        </is>
      </c>
      <c r="B9" s="15" t="inlineStr">
        <is>
          <t>一、会展客户</t>
        </is>
      </c>
      <c r="C9" s="15" t="inlineStr">
        <is>
          <t>参展商</t>
        </is>
      </c>
      <c r="D9" s="15" t="inlineStr">
        <is>
          <t>配套服务子项</t>
        </is>
      </c>
      <c r="E9" s="15" t="inlineStr">
        <is>
          <t>其中：餐饮服务</t>
        </is>
      </c>
      <c r="F9" s="15" t="inlineStr">
        <is>
          <t>餐饮服务</t>
        </is>
      </c>
      <c r="G9" s="17" t="n">
        <v>9.5</v>
      </c>
      <c r="H9" s="17" t="n">
        <v>0.125</v>
      </c>
      <c r="I9" s="17" t="n">
        <v>0.09090909090909091</v>
      </c>
      <c r="J9" s="17" t="n">
        <v>1</v>
      </c>
      <c r="K9" s="17" t="n">
        <v>0</v>
      </c>
      <c r="L9" s="17">
        <f>PRODUCT(H9:K9)</f>
        <v>0.0</v>
      </c>
      <c r="M9" s="17">
        <f>G9*L9</f>
        <v>0.0</v>
      </c>
      <c r="N9" s="17">
        <f>IF(K9=0,H9*I9,L9)</f>
        <v>0.011363636363636364</v>
      </c>
      <c r="O9" s="17">
        <f>G9*N9</f>
        <v>0.10795454545454546</v>
      </c>
      <c r="P9" s="15" t="n"/>
      <c r="Q9" s="15" t="inlineStr">
        <is>
          <t>1-2月</t>
        </is>
      </c>
      <c r="R9" s="15" t="inlineStr">
        <is>
          <t>宴会</t>
        </is>
      </c>
      <c r="S9" s="17" t="n">
        <v>9.85</v>
      </c>
      <c r="T9" s="17">
        <f>SUMIFS($M$2:$M$383,$A$2:$A$383,Q9,$C$2:$C$383,R9)/V9</f>
        <v>9.85</v>
      </c>
      <c r="U9" s="17">
        <f>S9-T9</f>
        <v>0.0</v>
      </c>
      <c r="V9" s="17" t="n">
        <v>0.01136363636363636</v>
      </c>
      <c r="W9" s="17">
        <f>S9*V9</f>
        <v>0.11193181818181817</v>
      </c>
      <c r="X9" s="17">
        <f>U9*V9</f>
        <v>0.0</v>
      </c>
    </row>
    <row r="10">
      <c r="A10" s="15" t="inlineStr">
        <is>
          <t>1-2月</t>
        </is>
      </c>
      <c r="B10" s="15" t="inlineStr">
        <is>
          <t>一、会展客户</t>
        </is>
      </c>
      <c r="C10" s="15" t="inlineStr">
        <is>
          <t>专业观众</t>
        </is>
      </c>
      <c r="D10" s="15" t="inlineStr">
        <is>
          <t>专业观众</t>
        </is>
      </c>
      <c r="E10" s="15" t="inlineStr">
        <is>
          <t>会展服务</t>
        </is>
      </c>
      <c r="F10" s="15" t="inlineStr">
        <is>
          <t>产品服务</t>
        </is>
      </c>
      <c r="G10" s="17" t="n">
        <v>10</v>
      </c>
      <c r="H10" s="17" t="n">
        <v>0.125</v>
      </c>
      <c r="I10" s="17" t="n">
        <v>0.09090909090909091</v>
      </c>
      <c r="J10" s="17" t="n">
        <v>1</v>
      </c>
      <c r="K10" s="17" t="n">
        <v>0.3333333333333333</v>
      </c>
      <c r="L10" s="17">
        <f>PRODUCT(H10:K10)</f>
        <v>0.003787878787878788</v>
      </c>
      <c r="M10" s="17">
        <f>G10*L10</f>
        <v>0.03787878787878788</v>
      </c>
      <c r="N10" s="17">
        <f>IF(K10=0,H10*I10,L10)</f>
        <v>0.003787878787878788</v>
      </c>
      <c r="O10" s="17">
        <f>G10*N10</f>
        <v>0.03787878787878788</v>
      </c>
      <c r="P10" s="15" t="n"/>
      <c r="Q10" s="15" t="inlineStr">
        <is>
          <t>1-2月</t>
        </is>
      </c>
      <c r="R10" s="15" t="inlineStr">
        <is>
          <t>酒店住宿团队</t>
        </is>
      </c>
      <c r="S10" s="17" t="n">
        <v>9.94</v>
      </c>
      <c r="T10" s="17">
        <f>SUMIFS($M$2:$M$383,$A$2:$A$383,Q10,$C$2:$C$383,R10)/V10</f>
        <v>9.943333333333333</v>
      </c>
      <c r="U10" s="17">
        <f>S10-T10</f>
        <v>-0.0033333333333338544</v>
      </c>
      <c r="V10" s="17" t="n">
        <v>0.01136363636363636</v>
      </c>
      <c r="W10" s="17">
        <f>S10*V10</f>
        <v>0.11295454545454545</v>
      </c>
      <c r="X10" s="17">
        <f>U10*V10</f>
        <v>-3.78787878787938e-05</v>
      </c>
    </row>
    <row r="11">
      <c r="A11" s="15" t="inlineStr">
        <is>
          <t>1-2月</t>
        </is>
      </c>
      <c r="B11" s="15" t="inlineStr">
        <is>
          <t>一、会展客户</t>
        </is>
      </c>
      <c r="C11" s="15" t="inlineStr">
        <is>
          <t>专业观众</t>
        </is>
      </c>
      <c r="D11" s="15" t="inlineStr">
        <is>
          <t>专业观众</t>
        </is>
      </c>
      <c r="E11" s="15" t="inlineStr">
        <is>
          <t>硬件设施</t>
        </is>
      </c>
      <c r="F11" s="15" t="inlineStr">
        <is>
          <t>硬件设施</t>
        </is>
      </c>
      <c r="G11" s="17" t="n">
        <v>9.369999999999999</v>
      </c>
      <c r="H11" s="17" t="n">
        <v>0.125</v>
      </c>
      <c r="I11" s="17" t="n">
        <v>0.09090909090909091</v>
      </c>
      <c r="J11" s="17" t="n">
        <v>1</v>
      </c>
      <c r="K11" s="17" t="n">
        <v>0.3333333333333333</v>
      </c>
      <c r="L11" s="17">
        <f>PRODUCT(H11:K11)</f>
        <v>0.003787878787878788</v>
      </c>
      <c r="M11" s="17">
        <f>G11*L11</f>
        <v>0.03549242424242424</v>
      </c>
      <c r="N11" s="17">
        <f>IF(K11=0,H11*I11,L11)</f>
        <v>0.003787878787878788</v>
      </c>
      <c r="O11" s="17">
        <f>G11*N11</f>
        <v>0.03549242424242424</v>
      </c>
      <c r="P11" s="15" t="n"/>
      <c r="Q11" s="15" t="inlineStr">
        <is>
          <t>1-2月</t>
        </is>
      </c>
      <c r="R11" s="15" t="inlineStr">
        <is>
          <t>酒店参会客户</t>
        </is>
      </c>
      <c r="S11" s="17" t="n">
        <v>9.82</v>
      </c>
      <c r="T11" s="17">
        <f>SUMIFS($M$2:$M$383,$A$2:$A$383,Q11,$C$2:$C$383,R11)/V11</f>
        <v>9.82</v>
      </c>
      <c r="U11" s="17">
        <f>S11-T11</f>
        <v>0.0</v>
      </c>
      <c r="V11" s="17" t="n">
        <v>0.01136363636363636</v>
      </c>
      <c r="W11" s="17">
        <f>S11*V11</f>
        <v>0.1115909090909091</v>
      </c>
      <c r="X11" s="17">
        <f>U11*V11</f>
        <v>0.0</v>
      </c>
    </row>
    <row r="12">
      <c r="A12" s="15" t="inlineStr">
        <is>
          <t>1-2月</t>
        </is>
      </c>
      <c r="B12" s="15" t="inlineStr">
        <is>
          <t>一、会展客户</t>
        </is>
      </c>
      <c r="C12" s="15" t="inlineStr">
        <is>
          <t>专业观众</t>
        </is>
      </c>
      <c r="D12" s="15" t="inlineStr">
        <is>
          <t>专业观众</t>
        </is>
      </c>
      <c r="E12" s="15" t="inlineStr">
        <is>
          <t>配套服务</t>
        </is>
      </c>
      <c r="F12" s="15" t="inlineStr">
        <is>
          <t>配套服务</t>
        </is>
      </c>
      <c r="G12" s="17" t="n">
        <v>9.949999999999999</v>
      </c>
      <c r="H12" s="17" t="n">
        <v>0.125</v>
      </c>
      <c r="I12" s="17" t="n">
        <v>0.09090909090909091</v>
      </c>
      <c r="J12" s="17" t="n">
        <v>1</v>
      </c>
      <c r="K12" s="17" t="n">
        <v>0.3333333333333333</v>
      </c>
      <c r="L12" s="17">
        <f>PRODUCT(H12:K12)</f>
        <v>0.003787878787878788</v>
      </c>
      <c r="M12" s="17">
        <f>G12*L12</f>
        <v>0.03768939393939394</v>
      </c>
      <c r="N12" s="17">
        <f>IF(K12=0,H12*I12,L12)</f>
        <v>0.003787878787878788</v>
      </c>
      <c r="O12" s="17">
        <f>G12*N12</f>
        <v>0.03768939393939394</v>
      </c>
      <c r="P12" s="15" t="n"/>
      <c r="Q12" s="15" t="inlineStr">
        <is>
          <t>1-2月</t>
        </is>
      </c>
      <c r="R12" s="15" t="inlineStr">
        <is>
          <t>酒店餐饮客户</t>
        </is>
      </c>
      <c r="S12" s="17" t="n">
        <v>9.98</v>
      </c>
      <c r="T12" s="17">
        <f>SUMIFS($M$2:$M$383,$A$2:$A$383,Q12,$C$2:$C$383,R12)/V12</f>
        <v>9.9725</v>
      </c>
      <c r="U12" s="17">
        <f>S12-T12</f>
        <v>0.007500000000000284</v>
      </c>
      <c r="V12" s="17" t="n">
        <v>0.01136363636363636</v>
      </c>
      <c r="W12" s="17">
        <f>S12*V12</f>
        <v>0.11340909090909092</v>
      </c>
      <c r="X12" s="17">
        <f>U12*V12</f>
        <v>8.522727272727596e-05</v>
      </c>
    </row>
    <row r="13">
      <c r="A13" s="15" t="inlineStr">
        <is>
          <t>1-2月</t>
        </is>
      </c>
      <c r="B13" s="15" t="inlineStr">
        <is>
          <t>一、会展客户</t>
        </is>
      </c>
      <c r="C13" s="15" t="inlineStr">
        <is>
          <t>专业观众</t>
        </is>
      </c>
      <c r="D13" s="15" t="inlineStr">
        <is>
          <t>配套服务子项</t>
        </is>
      </c>
      <c r="E13" s="15" t="inlineStr">
        <is>
          <t>其中：餐饮服务</t>
        </is>
      </c>
      <c r="F13" s="15" t="inlineStr">
        <is>
          <t>餐饮服务</t>
        </is>
      </c>
      <c r="G13" s="17" t="n">
        <v>9.85</v>
      </c>
      <c r="H13" s="17" t="n">
        <v>0.125</v>
      </c>
      <c r="I13" s="17" t="n">
        <v>0.09090909090909091</v>
      </c>
      <c r="J13" s="17" t="n">
        <v>1</v>
      </c>
      <c r="K13" s="17" t="n">
        <v>0</v>
      </c>
      <c r="L13" s="17">
        <f>PRODUCT(H13:K13)</f>
        <v>0.0</v>
      </c>
      <c r="M13" s="17">
        <f>G13*L13</f>
        <v>0.0</v>
      </c>
      <c r="N13" s="17">
        <f>IF(K13=0,H13*I13,L13)</f>
        <v>0.011363636363636364</v>
      </c>
      <c r="O13" s="17">
        <f>G13*N13</f>
        <v>0.11193181818181817</v>
      </c>
      <c r="P13" s="15" t="n"/>
      <c r="Q13" s="15" t="inlineStr">
        <is>
          <t>3月</t>
        </is>
      </c>
      <c r="R13" s="15" t="inlineStr">
        <is>
          <t>展览活动主（承）办</t>
        </is>
      </c>
      <c r="S13" s="17" t="n">
        <v>9.56</v>
      </c>
      <c r="T13" s="17">
        <f>SUMIFS($M$2:$M$383,$A$2:$A$383,Q13,$C$2:$C$383,R13)/V13</f>
        <v>9.563333333333333</v>
      </c>
      <c r="U13" s="17">
        <f>S13-T13</f>
        <v>-0.003333333333332078</v>
      </c>
      <c r="V13" s="17" t="n">
        <v>0.007352941176470588</v>
      </c>
      <c r="W13" s="17">
        <f>S13*V13</f>
        <v>0.07029411764705883</v>
      </c>
      <c r="X13" s="17">
        <f>U13*V13</f>
        <v>-2.4509803921559397e-05</v>
      </c>
    </row>
    <row r="14">
      <c r="A14" s="15" t="inlineStr">
        <is>
          <t>1-2月</t>
        </is>
      </c>
      <c r="B14" s="15" t="inlineStr">
        <is>
          <t>一、会展客户</t>
        </is>
      </c>
      <c r="C14" s="15" t="inlineStr">
        <is>
          <t>会议活动主（承）办</t>
        </is>
      </c>
      <c r="D14" s="15" t="inlineStr">
        <is>
          <t>会议主承办</t>
        </is>
      </c>
      <c r="E14" s="15" t="inlineStr">
        <is>
          <t>会展服务</t>
        </is>
      </c>
      <c r="F14" s="15" t="inlineStr">
        <is>
          <t>产品服务</t>
        </is>
      </c>
      <c r="G14" s="17" t="n">
        <v>9.67</v>
      </c>
      <c r="H14" s="17" t="n">
        <v>0.125</v>
      </c>
      <c r="I14" s="17" t="n">
        <v>0.09090909090909091</v>
      </c>
      <c r="J14" s="17" t="n">
        <v>1</v>
      </c>
      <c r="K14" s="17" t="n">
        <v>0.25</v>
      </c>
      <c r="L14" s="17">
        <f>PRODUCT(H14:K14)</f>
        <v>0.002840909090909091</v>
      </c>
      <c r="M14" s="17">
        <f>G14*L14</f>
        <v>0.02747159090909091</v>
      </c>
      <c r="N14" s="17">
        <f>IF(K14=0,H14*I14,L14)</f>
        <v>0.002840909090909091</v>
      </c>
      <c r="O14" s="17">
        <f>G14*N14</f>
        <v>0.02747159090909091</v>
      </c>
      <c r="P14" s="15" t="n"/>
      <c r="Q14" s="15" t="inlineStr">
        <is>
          <t>3月</t>
        </is>
      </c>
      <c r="R14" s="15" t="inlineStr">
        <is>
          <t>参展商</t>
        </is>
      </c>
      <c r="S14" s="17" t="n">
        <v>9.539999999999999</v>
      </c>
      <c r="T14" s="17">
        <f>SUMIFS($M$2:$M$383,$A$2:$A$383,Q14,$C$2:$C$383,R14)/V14</f>
        <v>9.543333333333331</v>
      </c>
      <c r="U14" s="17">
        <f>S14-T14</f>
        <v>-0.003333333333332078</v>
      </c>
      <c r="V14" s="17" t="n">
        <v>0.007352941176470588</v>
      </c>
      <c r="W14" s="17">
        <f>S14*V14</f>
        <v>0.07014705882352941</v>
      </c>
      <c r="X14" s="17">
        <f>U14*V14</f>
        <v>-2.4509803921559397e-05</v>
      </c>
    </row>
    <row r="15">
      <c r="A15" s="15" t="inlineStr">
        <is>
          <t>1-2月</t>
        </is>
      </c>
      <c r="B15" s="15" t="inlineStr">
        <is>
          <t>一、会展客户</t>
        </is>
      </c>
      <c r="C15" s="15" t="inlineStr">
        <is>
          <t>会议活动主（承）办</t>
        </is>
      </c>
      <c r="D15" s="15" t="inlineStr">
        <is>
          <t>会议主承办</t>
        </is>
      </c>
      <c r="E15" s="15" t="inlineStr">
        <is>
          <t>硬件设施</t>
        </is>
      </c>
      <c r="F15" s="15" t="inlineStr">
        <is>
          <t>硬件设施</t>
        </is>
      </c>
      <c r="G15" s="17" t="n">
        <v>9.66</v>
      </c>
      <c r="H15" s="17" t="n">
        <v>0.125</v>
      </c>
      <c r="I15" s="17" t="n">
        <v>0.09090909090909091</v>
      </c>
      <c r="J15" s="17" t="n">
        <v>1</v>
      </c>
      <c r="K15" s="17" t="n">
        <v>0.25</v>
      </c>
      <c r="L15" s="17">
        <f>PRODUCT(H15:K15)</f>
        <v>0.002840909090909091</v>
      </c>
      <c r="M15" s="17">
        <f>G15*L15</f>
        <v>0.027443181818181818</v>
      </c>
      <c r="N15" s="17">
        <f>IF(K15=0,H15*I15,L15)</f>
        <v>0.002840909090909091</v>
      </c>
      <c r="O15" s="17">
        <f>G15*N15</f>
        <v>0.027443181818181818</v>
      </c>
      <c r="P15" s="15" t="n"/>
      <c r="Q15" s="15" t="inlineStr">
        <is>
          <t>3月</t>
        </is>
      </c>
      <c r="R15" s="15" t="inlineStr">
        <is>
          <t>专业观众</t>
        </is>
      </c>
      <c r="S15" s="17" t="n">
        <v>9.32</v>
      </c>
      <c r="T15" s="17">
        <f>SUMIFS($M$2:$M$383,$A$2:$A$383,Q15,$C$2:$C$383,R15)/V15</f>
        <v>9.32</v>
      </c>
      <c r="U15" s="17">
        <f>S15-T15</f>
        <v>0.0</v>
      </c>
      <c r="V15" s="17" t="n">
        <v>0.007352941176470588</v>
      </c>
      <c r="W15" s="17">
        <f>S15*V15</f>
        <v>0.06852941176470588</v>
      </c>
      <c r="X15" s="17">
        <f>U15*V15</f>
        <v>0.0</v>
      </c>
    </row>
    <row r="16">
      <c r="A16" s="15" t="inlineStr">
        <is>
          <t>1-2月</t>
        </is>
      </c>
      <c r="B16" s="15" t="inlineStr">
        <is>
          <t>一、会展客户</t>
        </is>
      </c>
      <c r="C16" s="15" t="inlineStr">
        <is>
          <t>会议活动主（承）办</t>
        </is>
      </c>
      <c r="D16" s="15" t="inlineStr">
        <is>
          <t>会议主承办</t>
        </is>
      </c>
      <c r="E16" s="15" t="inlineStr">
        <is>
          <t>配套服务</t>
        </is>
      </c>
      <c r="F16" s="15" t="inlineStr">
        <is>
          <t>配套服务</t>
        </is>
      </c>
      <c r="G16" s="17" t="n">
        <v>9.56</v>
      </c>
      <c r="H16" s="17" t="n">
        <v>0.125</v>
      </c>
      <c r="I16" s="17" t="n">
        <v>0.09090909090909091</v>
      </c>
      <c r="J16" s="17" t="n">
        <v>1</v>
      </c>
      <c r="K16" s="17" t="n">
        <v>0.25</v>
      </c>
      <c r="L16" s="17">
        <f>PRODUCT(H16:K16)</f>
        <v>0.002840909090909091</v>
      </c>
      <c r="M16" s="17">
        <f>G16*L16</f>
        <v>0.02715909090909091</v>
      </c>
      <c r="N16" s="17">
        <f>IF(K16=0,H16*I16,L16)</f>
        <v>0.002840909090909091</v>
      </c>
      <c r="O16" s="17">
        <f>G16*N16</f>
        <v>0.02715909090909091</v>
      </c>
      <c r="P16" s="15" t="n"/>
      <c r="Q16" s="15" t="inlineStr">
        <is>
          <t>3月</t>
        </is>
      </c>
      <c r="R16" s="15" t="inlineStr">
        <is>
          <t>会展服务商</t>
        </is>
      </c>
      <c r="S16" s="17" t="n">
        <v>9.68</v>
      </c>
      <c r="T16" s="17">
        <f>SUMIFS($M$2:$M$383,$A$2:$A$383,Q16,$C$2:$C$383,R16)/V16</f>
        <v>9.683333333333334</v>
      </c>
      <c r="U16" s="17">
        <f>S16-T16</f>
        <v>-0.0033333333333338544</v>
      </c>
      <c r="V16" s="17" t="n">
        <v>0.007352941176470588</v>
      </c>
      <c r="W16" s="17">
        <f>S16*V16</f>
        <v>0.07117647058823529</v>
      </c>
      <c r="X16" s="17">
        <f>U16*V16</f>
        <v>-2.450980392157246e-05</v>
      </c>
    </row>
    <row r="17">
      <c r="A17" s="15" t="inlineStr">
        <is>
          <t>1-2月</t>
        </is>
      </c>
      <c r="B17" s="15" t="inlineStr">
        <is>
          <t>一、会展客户</t>
        </is>
      </c>
      <c r="C17" s="15" t="inlineStr">
        <is>
          <t>会议活动主（承）办</t>
        </is>
      </c>
      <c r="D17" s="15" t="inlineStr">
        <is>
          <t>会议主承办</t>
        </is>
      </c>
      <c r="E17" s="15" t="inlineStr">
        <is>
          <t>智慧场馆</t>
        </is>
      </c>
      <c r="F17" s="15" t="inlineStr">
        <is>
          <t>智慧场馆/服务</t>
        </is>
      </c>
      <c r="G17" s="17" t="n">
        <v>9</v>
      </c>
      <c r="H17" s="17" t="n">
        <v>0.125</v>
      </c>
      <c r="I17" s="17" t="n">
        <v>0.09090909090909091</v>
      </c>
      <c r="J17" s="17" t="n">
        <v>1</v>
      </c>
      <c r="K17" s="17" t="n">
        <v>0.25</v>
      </c>
      <c r="L17" s="17">
        <f>PRODUCT(H17:K17)</f>
        <v>0.002840909090909091</v>
      </c>
      <c r="M17" s="17">
        <f>G17*L17</f>
        <v>0.02556818181818182</v>
      </c>
      <c r="N17" s="17">
        <f>IF(K17=0,H17*I17,L17)</f>
        <v>0.002840909090909091</v>
      </c>
      <c r="O17" s="17">
        <f>G17*N17</f>
        <v>0.02556818181818182</v>
      </c>
      <c r="P17" s="15" t="n"/>
      <c r="Q17" s="15" t="inlineStr">
        <is>
          <t>3月</t>
        </is>
      </c>
      <c r="R17" s="15" t="inlineStr">
        <is>
          <t>会议活动主（承）办</t>
        </is>
      </c>
      <c r="S17" s="17" t="n">
        <v>9.51</v>
      </c>
      <c r="T17" s="17">
        <f>SUMIFS($M$2:$M$383,$A$2:$A$383,Q17,$C$2:$C$383,R17)/V17</f>
        <v>9.513333333333334</v>
      </c>
      <c r="U17" s="17">
        <f>S17-T17</f>
        <v>-0.0033333333333338544</v>
      </c>
      <c r="V17" s="17" t="n">
        <v>0.007352941176470588</v>
      </c>
      <c r="W17" s="17">
        <f>S17*V17</f>
        <v>0.0699264705882353</v>
      </c>
      <c r="X17" s="17">
        <f>U17*V17</f>
        <v>-2.450980392157246e-05</v>
      </c>
    </row>
    <row r="18">
      <c r="A18" s="15" t="inlineStr">
        <is>
          <t>1-2月</t>
        </is>
      </c>
      <c r="B18" s="15" t="inlineStr">
        <is>
          <t>一、会展客户</t>
        </is>
      </c>
      <c r="C18" s="15" t="inlineStr">
        <is>
          <t>会议活动主（承）办</t>
        </is>
      </c>
      <c r="D18" s="15" t="inlineStr">
        <is>
          <t>配套服务子项</t>
        </is>
      </c>
      <c r="E18" s="15" t="inlineStr">
        <is>
          <t>其中：餐饮服务</t>
        </is>
      </c>
      <c r="F18" s="15" t="inlineStr">
        <is>
          <t>餐饮服务</t>
        </is>
      </c>
      <c r="G18" s="17" t="n">
        <v>9.140000000000001</v>
      </c>
      <c r="H18" s="17" t="n">
        <v>0.125</v>
      </c>
      <c r="I18" s="17" t="n">
        <v>0.09090909090909091</v>
      </c>
      <c r="J18" s="17" t="n">
        <v>1</v>
      </c>
      <c r="K18" s="17" t="n">
        <v>0</v>
      </c>
      <c r="L18" s="17">
        <f>PRODUCT(H18:K18)</f>
        <v>0.0</v>
      </c>
      <c r="M18" s="17">
        <f>G18*L18</f>
        <v>0.0</v>
      </c>
      <c r="N18" s="17">
        <f>IF(K18=0,H18*I18,L18)</f>
        <v>0.011363636363636364</v>
      </c>
      <c r="O18" s="17">
        <f>G18*N18</f>
        <v>0.10386363636363637</v>
      </c>
      <c r="P18" s="15" t="n"/>
      <c r="Q18" s="15" t="inlineStr">
        <is>
          <t>3月</t>
        </is>
      </c>
      <c r="R18" s="15" t="inlineStr">
        <is>
          <t>参会客户</t>
        </is>
      </c>
      <c r="S18" s="17" t="n">
        <v>9.720000000000001</v>
      </c>
      <c r="T18" s="17">
        <f>SUMIFS($M$2:$M$383,$A$2:$A$383,Q18,$C$2:$C$383,R18)/V18</f>
        <v>9.72</v>
      </c>
      <c r="U18" s="17">
        <f>S18-T18</f>
        <v>0.0</v>
      </c>
      <c r="V18" s="17" t="n">
        <v>0.007352941176470588</v>
      </c>
      <c r="W18" s="17">
        <f>S18*V18</f>
        <v>0.07147058823529412</v>
      </c>
      <c r="X18" s="17">
        <f>U18*V18</f>
        <v>0.0</v>
      </c>
    </row>
    <row r="19">
      <c r="A19" s="15" t="inlineStr">
        <is>
          <t>1-2月</t>
        </is>
      </c>
      <c r="B19" s="15" t="inlineStr">
        <is>
          <t>一、会展客户</t>
        </is>
      </c>
      <c r="C19" s="15" t="inlineStr">
        <is>
          <t>参会客户</t>
        </is>
      </c>
      <c r="D19" s="15" t="inlineStr">
        <is>
          <t>参会人员</t>
        </is>
      </c>
      <c r="E19" s="15" t="inlineStr">
        <is>
          <t>会展服务</t>
        </is>
      </c>
      <c r="F19" s="15" t="inlineStr">
        <is>
          <t>产品服务</t>
        </is>
      </c>
      <c r="G19" s="17" t="n">
        <v>10</v>
      </c>
      <c r="H19" s="17" t="n">
        <v>0.125</v>
      </c>
      <c r="I19" s="17" t="n">
        <v>0.09090909090909091</v>
      </c>
      <c r="J19" s="17" t="n">
        <v>1</v>
      </c>
      <c r="K19" s="17" t="n">
        <v>0.3333333333333333</v>
      </c>
      <c r="L19" s="17">
        <f>PRODUCT(H19:K19)</f>
        <v>0.003787878787878788</v>
      </c>
      <c r="M19" s="17">
        <f>G19*L19</f>
        <v>0.03787878787878788</v>
      </c>
      <c r="N19" s="17">
        <f>IF(K19=0,H19*I19,L19)</f>
        <v>0.003787878787878788</v>
      </c>
      <c r="O19" s="17">
        <f>G19*N19</f>
        <v>0.03787878787878788</v>
      </c>
      <c r="P19" s="15" t="n"/>
      <c r="Q19" s="15" t="inlineStr">
        <is>
          <t>3月</t>
        </is>
      </c>
      <c r="R19" s="15" t="inlineStr">
        <is>
          <t>商务简餐</t>
        </is>
      </c>
      <c r="S19" s="17" t="n">
        <v>9.48</v>
      </c>
      <c r="T19" s="17">
        <f>SUMIFS($M$2:$M$383,$A$2:$A$383,Q19,$C$2:$C$383,R19)/V19</f>
        <v>9.475</v>
      </c>
      <c r="U19" s="17">
        <f>S19-T19</f>
        <v>0.005000000000000782</v>
      </c>
      <c r="V19" s="17" t="n">
        <v>0.007352941176470588</v>
      </c>
      <c r="W19" s="17">
        <f>S19*V19</f>
        <v>0.06970588235294117</v>
      </c>
      <c r="X19" s="17">
        <f>U19*V19</f>
        <v>3.676470588235869e-05</v>
      </c>
    </row>
    <row r="20">
      <c r="A20" s="15" t="inlineStr">
        <is>
          <t>1-2月</t>
        </is>
      </c>
      <c r="B20" s="15" t="inlineStr">
        <is>
          <t>一、会展客户</t>
        </is>
      </c>
      <c r="C20" s="15" t="inlineStr">
        <is>
          <t>参会客户</t>
        </is>
      </c>
      <c r="D20" s="15" t="inlineStr">
        <is>
          <t>参会人员</t>
        </is>
      </c>
      <c r="E20" s="15" t="inlineStr">
        <is>
          <t>硬件设施</t>
        </is>
      </c>
      <c r="F20" s="15" t="inlineStr">
        <is>
          <t>硬件设施</t>
        </is>
      </c>
      <c r="G20" s="17" t="n">
        <v>9.58</v>
      </c>
      <c r="H20" s="17" t="n">
        <v>0.125</v>
      </c>
      <c r="I20" s="17" t="n">
        <v>0.09090909090909091</v>
      </c>
      <c r="J20" s="17" t="n">
        <v>1</v>
      </c>
      <c r="K20" s="17" t="n">
        <v>0.3333333333333333</v>
      </c>
      <c r="L20" s="17">
        <f>PRODUCT(H20:K20)</f>
        <v>0.003787878787878788</v>
      </c>
      <c r="M20" s="17">
        <f>G20*L20</f>
        <v>0.03628787878787879</v>
      </c>
      <c r="N20" s="17">
        <f>IF(K20=0,H20*I20,L20)</f>
        <v>0.003787878787878788</v>
      </c>
      <c r="O20" s="17">
        <f>G20*N20</f>
        <v>0.03628787878787879</v>
      </c>
      <c r="P20" s="15" t="n"/>
      <c r="Q20" s="15" t="inlineStr">
        <is>
          <t>3月</t>
        </is>
      </c>
      <c r="R20" s="15" t="inlineStr">
        <is>
          <t>特色美食廊</t>
        </is>
      </c>
      <c r="S20" s="17" t="n">
        <v>9.1</v>
      </c>
      <c r="T20" s="17">
        <f>SUMIFS($M$2:$M$383,$A$2:$A$383,Q20,$C$2:$C$383,R20)/V20</f>
        <v>9.094999999999999</v>
      </c>
      <c r="U20" s="17">
        <f>S20-T20</f>
        <v>0.005000000000000782</v>
      </c>
      <c r="V20" s="17" t="n">
        <v>0.007352941176470588</v>
      </c>
      <c r="W20" s="17">
        <f>S20*V20</f>
        <v>0.06691176470588235</v>
      </c>
      <c r="X20" s="17">
        <f>U20*V20</f>
        <v>3.676470588235869e-05</v>
      </c>
    </row>
    <row r="21">
      <c r="A21" s="15" t="inlineStr">
        <is>
          <t>1-2月</t>
        </is>
      </c>
      <c r="B21" s="15" t="inlineStr">
        <is>
          <t>一、会展客户</t>
        </is>
      </c>
      <c r="C21" s="15" t="inlineStr">
        <is>
          <t>参会客户</t>
        </is>
      </c>
      <c r="D21" s="15" t="inlineStr">
        <is>
          <t>参会人员</t>
        </is>
      </c>
      <c r="E21" s="15" t="inlineStr">
        <is>
          <t>配套服务</t>
        </is>
      </c>
      <c r="F21" s="15" t="inlineStr">
        <is>
          <t>配套服务</t>
        </is>
      </c>
      <c r="G21" s="17" t="n">
        <v>9.859999999999999</v>
      </c>
      <c r="H21" s="17" t="n">
        <v>0.125</v>
      </c>
      <c r="I21" s="17" t="n">
        <v>0.09090909090909091</v>
      </c>
      <c r="J21" s="17" t="n">
        <v>1</v>
      </c>
      <c r="K21" s="17" t="n">
        <v>0.3333333333333333</v>
      </c>
      <c r="L21" s="17">
        <f>PRODUCT(H21:K21)</f>
        <v>0.003787878787878788</v>
      </c>
      <c r="M21" s="17">
        <f>G21*L21</f>
        <v>0.037348484848484846</v>
      </c>
      <c r="N21" s="17">
        <f>IF(K21=0,H21*I21,L21)</f>
        <v>0.003787878787878788</v>
      </c>
      <c r="O21" s="17">
        <f>G21*N21</f>
        <v>0.037348484848484846</v>
      </c>
      <c r="P21" s="15" t="n"/>
      <c r="Q21" s="15" t="inlineStr">
        <is>
          <t>3月</t>
        </is>
      </c>
      <c r="R21" s="15" t="inlineStr">
        <is>
          <t>婚宴</t>
        </is>
      </c>
      <c r="S21" s="17" t="n">
        <v>9.16</v>
      </c>
      <c r="T21" s="17">
        <f>SUMIFS($M$2:$M$383,$A$2:$A$383,Q21,$C$2:$C$383,R21)/V21</f>
        <v>9.16</v>
      </c>
      <c r="U21" s="17">
        <f>S21-T21</f>
        <v>0.0</v>
      </c>
      <c r="V21" s="17" t="n">
        <v>0.007352941176470588</v>
      </c>
      <c r="W21" s="17">
        <f>S21*V21</f>
        <v>0.06735294117647059</v>
      </c>
      <c r="X21" s="17">
        <f>U21*V21</f>
        <v>0.0</v>
      </c>
    </row>
    <row r="22">
      <c r="A22" s="15" t="inlineStr">
        <is>
          <t>1-2月</t>
        </is>
      </c>
      <c r="B22" s="15" t="inlineStr">
        <is>
          <t>一、会展客户</t>
        </is>
      </c>
      <c r="C22" s="15" t="inlineStr">
        <is>
          <t>参会客户</t>
        </is>
      </c>
      <c r="D22" s="15" t="inlineStr">
        <is>
          <t>配套服务子项</t>
        </is>
      </c>
      <c r="E22" s="15" t="inlineStr">
        <is>
          <t>其中：餐饮服务</t>
        </is>
      </c>
      <c r="F22" s="15" t="inlineStr">
        <is>
          <t>餐饮服务</t>
        </is>
      </c>
      <c r="G22" s="17" t="n">
        <v>9.550000000000001</v>
      </c>
      <c r="H22" s="17" t="n">
        <v>0.125</v>
      </c>
      <c r="I22" s="17" t="n">
        <v>0.09090909090909091</v>
      </c>
      <c r="J22" s="17" t="n">
        <v>1</v>
      </c>
      <c r="K22" s="17" t="n">
        <v>0</v>
      </c>
      <c r="L22" s="17">
        <f>PRODUCT(H22:K22)</f>
        <v>0.0</v>
      </c>
      <c r="M22" s="17">
        <f>G22*L22</f>
        <v>0.0</v>
      </c>
      <c r="N22" s="17">
        <f>IF(K22=0,H22*I22,L22)</f>
        <v>0.011363636363636364</v>
      </c>
      <c r="O22" s="17">
        <f>G22*N22</f>
        <v>0.10852272727272728</v>
      </c>
      <c r="P22" s="15" t="n"/>
      <c r="Q22" s="15" t="inlineStr">
        <is>
          <t>3月</t>
        </is>
      </c>
      <c r="R22" s="15" t="inlineStr">
        <is>
          <t>自助餐</t>
        </is>
      </c>
      <c r="S22" s="17" t="n">
        <v>9.460000000000001</v>
      </c>
      <c r="T22" s="17">
        <f>SUMIFS($M$2:$M$383,$A$2:$A$383,Q22,$C$2:$C$383,R22)/V22</f>
        <v>9.459999999999999</v>
      </c>
      <c r="U22" s="17">
        <f>S22-T22</f>
        <v>1.7763568394002505e-15</v>
      </c>
      <c r="V22" s="17" t="n">
        <v>0.007352941176470588</v>
      </c>
      <c r="W22" s="17">
        <f>S22*V22</f>
        <v>0.06955882352941177</v>
      </c>
      <c r="X22" s="17">
        <f>U22*V22</f>
        <v>1.3061447348531253e-17</v>
      </c>
    </row>
    <row r="23">
      <c r="A23" s="15" t="inlineStr">
        <is>
          <t>1-2月</t>
        </is>
      </c>
      <c r="B23" s="15" t="inlineStr">
        <is>
          <t>二、餐饮客户</t>
        </is>
      </c>
      <c r="C23" s="15" t="inlineStr">
        <is>
          <t>商务简餐</t>
        </is>
      </c>
      <c r="D23" s="15" t="inlineStr">
        <is>
          <t>商务简餐</t>
        </is>
      </c>
      <c r="E23" s="15" t="inlineStr">
        <is>
          <t>餐饮服务</t>
        </is>
      </c>
      <c r="F23" s="15" t="inlineStr">
        <is>
          <t>餐饮服务</t>
        </is>
      </c>
      <c r="G23" s="17" t="n">
        <v>9.98</v>
      </c>
      <c r="H23" s="17" t="n">
        <v>0.125</v>
      </c>
      <c r="I23" s="17" t="n">
        <v>0.09090909090909091</v>
      </c>
      <c r="J23" s="17" t="n">
        <v>1</v>
      </c>
      <c r="K23" s="17" t="n">
        <v>0.5</v>
      </c>
      <c r="L23" s="17">
        <f>PRODUCT(H23:K23)</f>
        <v>0.005681818181818182</v>
      </c>
      <c r="M23" s="17">
        <f>G23*L23</f>
        <v>0.05670454545454546</v>
      </c>
      <c r="N23" s="17">
        <f>IF(K23=0,H23*I23,L23)</f>
        <v>0.005681818181818182</v>
      </c>
      <c r="O23" s="17">
        <f>G23*N23</f>
        <v>0.05670454545454546</v>
      </c>
      <c r="P23" s="15" t="n"/>
      <c r="Q23" s="15" t="inlineStr">
        <is>
          <t>3月</t>
        </is>
      </c>
      <c r="R23" s="15" t="inlineStr">
        <is>
          <t>宴会</t>
        </is>
      </c>
      <c r="S23" s="17" t="n">
        <v>9.630000000000001</v>
      </c>
      <c r="T23" s="17">
        <f>SUMIFS($M$2:$M$383,$A$2:$A$383,Q23,$C$2:$C$383,R23)/V23</f>
        <v>9.625</v>
      </c>
      <c r="U23" s="17">
        <f>S23-T23</f>
        <v>0.005000000000000782</v>
      </c>
      <c r="V23" s="17" t="n">
        <v>0.007352941176470588</v>
      </c>
      <c r="W23" s="17">
        <f>S23*V23</f>
        <v>0.07080882352941177</v>
      </c>
      <c r="X23" s="17">
        <f>U23*V23</f>
        <v>3.676470588235869e-05</v>
      </c>
    </row>
    <row r="24">
      <c r="A24" s="15" t="inlineStr">
        <is>
          <t>1-2月</t>
        </is>
      </c>
      <c r="B24" s="15" t="inlineStr">
        <is>
          <t>二、餐饮客户</t>
        </is>
      </c>
      <c r="C24" s="15" t="inlineStr">
        <is>
          <t>商务简餐</t>
        </is>
      </c>
      <c r="D24" s="15" t="inlineStr">
        <is>
          <t>商务简餐</t>
        </is>
      </c>
      <c r="E24" s="15" t="inlineStr">
        <is>
          <t>硬件设施</t>
        </is>
      </c>
      <c r="F24" s="15" t="inlineStr">
        <is>
          <t>硬件设施</t>
        </is>
      </c>
      <c r="G24" s="17" t="n">
        <v>9.17</v>
      </c>
      <c r="H24" s="17" t="n">
        <v>0.125</v>
      </c>
      <c r="I24" s="17" t="n">
        <v>0.09090909090909091</v>
      </c>
      <c r="J24" s="17" t="n">
        <v>1</v>
      </c>
      <c r="K24" s="17" t="n">
        <v>0.5</v>
      </c>
      <c r="L24" s="17">
        <f>PRODUCT(H24:K24)</f>
        <v>0.005681818181818182</v>
      </c>
      <c r="M24" s="17">
        <f>G24*L24</f>
        <v>0.052102272727272726</v>
      </c>
      <c r="N24" s="17">
        <f>IF(K24=0,H24*I24,L24)</f>
        <v>0.005681818181818182</v>
      </c>
      <c r="O24" s="17">
        <f>G24*N24</f>
        <v>0.052102272727272726</v>
      </c>
      <c r="P24" s="15" t="n"/>
      <c r="Q24" s="15" t="inlineStr">
        <is>
          <t>3月</t>
        </is>
      </c>
      <c r="R24" s="15" t="inlineStr">
        <is>
          <t>游客</t>
        </is>
      </c>
      <c r="S24" s="17" t="n">
        <v>9.81</v>
      </c>
      <c r="T24" s="17">
        <f>SUMIFS($M$2:$M$383,$A$2:$A$383,Q24,$C$2:$C$383,R24)/V24</f>
        <v>9.81</v>
      </c>
      <c r="U24" s="17">
        <f>S24-T24</f>
        <v>0.0</v>
      </c>
      <c r="V24" s="17" t="n">
        <v>0.007352941176470588</v>
      </c>
      <c r="W24" s="17">
        <f>S24*V24</f>
        <v>0.07213235294117647</v>
      </c>
      <c r="X24" s="17">
        <f>U24*V24</f>
        <v>0.0</v>
      </c>
    </row>
    <row r="25">
      <c r="A25" s="15" t="inlineStr">
        <is>
          <t>1-2月</t>
        </is>
      </c>
      <c r="B25" s="15" t="inlineStr">
        <is>
          <t>二、餐饮客户</t>
        </is>
      </c>
      <c r="C25" s="15" t="inlineStr">
        <is>
          <t>自助餐</t>
        </is>
      </c>
      <c r="D25" s="15" t="inlineStr">
        <is>
          <t>自助餐</t>
        </is>
      </c>
      <c r="E25" s="15" t="inlineStr">
        <is>
          <t>餐饮服务</t>
        </is>
      </c>
      <c r="F25" s="15" t="inlineStr">
        <is>
          <t>餐饮服务</t>
        </is>
      </c>
      <c r="G25" s="17" t="n">
        <v>10</v>
      </c>
      <c r="H25" s="17" t="n">
        <v>0.125</v>
      </c>
      <c r="I25" s="17" t="n">
        <v>0.09090909090909091</v>
      </c>
      <c r="J25" s="17" t="n">
        <v>1</v>
      </c>
      <c r="K25" s="17" t="n">
        <v>0.5</v>
      </c>
      <c r="L25" s="17">
        <f>PRODUCT(H25:K25)</f>
        <v>0.005681818181818182</v>
      </c>
      <c r="M25" s="17">
        <f>G25*L25</f>
        <v>0.05681818181818182</v>
      </c>
      <c r="N25" s="17">
        <f>IF(K25=0,H25*I25,L25)</f>
        <v>0.005681818181818182</v>
      </c>
      <c r="O25" s="17">
        <f>G25*N25</f>
        <v>0.05681818181818182</v>
      </c>
      <c r="P25" s="15" t="n"/>
      <c r="Q25" s="15" t="inlineStr">
        <is>
          <t>3月</t>
        </is>
      </c>
      <c r="R25" s="15" t="inlineStr">
        <is>
          <t>旅行社工作人员</t>
        </is>
      </c>
      <c r="S25" s="17" t="n">
        <v>10</v>
      </c>
      <c r="T25" s="17">
        <f>SUMIFS($M$2:$M$383,$A$2:$A$383,Q25,$C$2:$C$383,R25)/V25</f>
        <v>10.0</v>
      </c>
      <c r="U25" s="17">
        <f>S25-T25</f>
        <v>0.0</v>
      </c>
      <c r="V25" s="17" t="n">
        <v>0.007352941176470588</v>
      </c>
      <c r="W25" s="17">
        <f>S25*V25</f>
        <v>0.07352941176470588</v>
      </c>
      <c r="X25" s="17">
        <f>U25*V25</f>
        <v>0.0</v>
      </c>
    </row>
    <row r="26">
      <c r="A26" s="15" t="inlineStr">
        <is>
          <t>1-2月</t>
        </is>
      </c>
      <c r="B26" s="15" t="inlineStr">
        <is>
          <t>二、餐饮客户</t>
        </is>
      </c>
      <c r="C26" s="15" t="inlineStr">
        <is>
          <t>自助餐</t>
        </is>
      </c>
      <c r="D26" s="15" t="inlineStr">
        <is>
          <t>自助餐</t>
        </is>
      </c>
      <c r="E26" s="15" t="inlineStr">
        <is>
          <t>硬件设施</t>
        </is>
      </c>
      <c r="F26" s="15" t="inlineStr">
        <is>
          <t>硬件设施</t>
        </is>
      </c>
      <c r="G26" s="17" t="n">
        <v>10</v>
      </c>
      <c r="H26" s="17" t="n">
        <v>0.125</v>
      </c>
      <c r="I26" s="17" t="n">
        <v>0.09090909090909091</v>
      </c>
      <c r="J26" s="17" t="n">
        <v>1</v>
      </c>
      <c r="K26" s="17" t="n">
        <v>0.5</v>
      </c>
      <c r="L26" s="17">
        <f>PRODUCT(H26:K26)</f>
        <v>0.005681818181818182</v>
      </c>
      <c r="M26" s="17">
        <f>G26*L26</f>
        <v>0.05681818181818182</v>
      </c>
      <c r="N26" s="17">
        <f>IF(K26=0,H26*I26,L26)</f>
        <v>0.005681818181818182</v>
      </c>
      <c r="O26" s="17">
        <f>G26*N26</f>
        <v>0.05681818181818182</v>
      </c>
      <c r="P26" s="15" t="n"/>
      <c r="Q26" s="15" t="inlineStr">
        <is>
          <t>3月</t>
        </is>
      </c>
      <c r="R26" s="15" t="inlineStr">
        <is>
          <t>酒店散客</t>
        </is>
      </c>
      <c r="S26" s="17" t="n">
        <v>9.6</v>
      </c>
      <c r="T26" s="17">
        <f>SUMIFS($M$2:$M$383,$A$2:$A$383,Q26,$C$2:$C$383,R26)/V26</f>
        <v>9.595</v>
      </c>
      <c r="U26" s="17">
        <f>S26-T26</f>
        <v>0.004999999999999005</v>
      </c>
      <c r="V26" s="17" t="n">
        <v>0.007352941176470588</v>
      </c>
      <c r="W26" s="17">
        <f>S26*V26</f>
        <v>0.07058823529411765</v>
      </c>
      <c r="X26" s="17">
        <f>U26*V26</f>
        <v>3.6764705882345626e-05</v>
      </c>
    </row>
    <row r="27">
      <c r="A27" s="15" t="inlineStr">
        <is>
          <t>1-2月</t>
        </is>
      </c>
      <c r="B27" s="15" t="inlineStr">
        <is>
          <t>二、餐饮客户</t>
        </is>
      </c>
      <c r="C27" s="15" t="inlineStr">
        <is>
          <t>宴会</t>
        </is>
      </c>
      <c r="D27" s="15" t="inlineStr">
        <is>
          <t>宴会</t>
        </is>
      </c>
      <c r="E27" s="15" t="inlineStr">
        <is>
          <t>餐饮服务</t>
        </is>
      </c>
      <c r="F27" s="15" t="inlineStr">
        <is>
          <t>餐饮服务</t>
        </is>
      </c>
      <c r="G27" s="17" t="n">
        <v>9.949999999999999</v>
      </c>
      <c r="H27" s="17" t="n">
        <v>0.125</v>
      </c>
      <c r="I27" s="17" t="n">
        <v>0.09090909090909091</v>
      </c>
      <c r="J27" s="17" t="n">
        <v>1</v>
      </c>
      <c r="K27" s="17" t="n">
        <v>0.5</v>
      </c>
      <c r="L27" s="17">
        <f>PRODUCT(H27:K27)</f>
        <v>0.005681818181818182</v>
      </c>
      <c r="M27" s="17">
        <f>G27*L27</f>
        <v>0.05653409090909091</v>
      </c>
      <c r="N27" s="17">
        <f>IF(K27=0,H27*I27,L27)</f>
        <v>0.005681818181818182</v>
      </c>
      <c r="O27" s="17">
        <f>G27*N27</f>
        <v>0.05653409090909091</v>
      </c>
      <c r="P27" s="15" t="n"/>
      <c r="Q27" s="15" t="inlineStr">
        <is>
          <t>3月</t>
        </is>
      </c>
      <c r="R27" s="15" t="inlineStr">
        <is>
          <t>酒店住宿团队</t>
        </is>
      </c>
      <c r="S27" s="17" t="n">
        <v>9.880000000000001</v>
      </c>
      <c r="T27" s="17">
        <f>SUMIFS($M$2:$M$383,$A$2:$A$383,Q27,$C$2:$C$383,R27)/V27</f>
        <v>9.883333333333333</v>
      </c>
      <c r="U27" s="17">
        <f>S27-T27</f>
        <v>-0.003333333333332078</v>
      </c>
      <c r="V27" s="17" t="n">
        <v>0.007352941176470588</v>
      </c>
      <c r="W27" s="17">
        <f>S27*V27</f>
        <v>0.07264705882352941</v>
      </c>
      <c r="X27" s="17">
        <f>U27*V27</f>
        <v>-2.4509803921559397e-05</v>
      </c>
    </row>
    <row r="28">
      <c r="A28" s="15" t="inlineStr">
        <is>
          <t>1-2月</t>
        </is>
      </c>
      <c r="B28" s="15" t="inlineStr">
        <is>
          <t>二、餐饮客户</t>
        </is>
      </c>
      <c r="C28" s="15" t="inlineStr">
        <is>
          <t>宴会</t>
        </is>
      </c>
      <c r="D28" s="15" t="inlineStr">
        <is>
          <t>宴会</t>
        </is>
      </c>
      <c r="E28" s="15" t="inlineStr">
        <is>
          <t>硬件设施</t>
        </is>
      </c>
      <c r="F28" s="15" t="inlineStr">
        <is>
          <t>硬件设施</t>
        </is>
      </c>
      <c r="G28" s="17" t="n">
        <v>9.75</v>
      </c>
      <c r="H28" s="17" t="n">
        <v>0.125</v>
      </c>
      <c r="I28" s="17" t="n">
        <v>0.09090909090909091</v>
      </c>
      <c r="J28" s="17" t="n">
        <v>1</v>
      </c>
      <c r="K28" s="17" t="n">
        <v>0.5</v>
      </c>
      <c r="L28" s="17">
        <f>PRODUCT(H28:K28)</f>
        <v>0.005681818181818182</v>
      </c>
      <c r="M28" s="17">
        <f>G28*L28</f>
        <v>0.05539772727272727</v>
      </c>
      <c r="N28" s="17">
        <f>IF(K28=0,H28*I28,L28)</f>
        <v>0.005681818181818182</v>
      </c>
      <c r="O28" s="17">
        <f>G28*N28</f>
        <v>0.05539772727272727</v>
      </c>
      <c r="P28" s="15" t="n"/>
      <c r="Q28" s="15" t="inlineStr">
        <is>
          <t>3月</t>
        </is>
      </c>
      <c r="R28" s="15" t="inlineStr">
        <is>
          <t>酒店参会客户</t>
        </is>
      </c>
      <c r="S28" s="17" t="n">
        <v>9.69</v>
      </c>
      <c r="T28" s="17">
        <f>SUMIFS($M$2:$M$383,$A$2:$A$383,Q28,$C$2:$C$383,R28)/V28</f>
        <v>9.693333333333333</v>
      </c>
      <c r="U28" s="17">
        <f>S28-T28</f>
        <v>-0.0033333333333338544</v>
      </c>
      <c r="V28" s="17" t="n">
        <v>0.007352941176470588</v>
      </c>
      <c r="W28" s="17">
        <f>S28*V28</f>
        <v>0.07125</v>
      </c>
      <c r="X28" s="17">
        <f>U28*V28</f>
        <v>-2.450980392157246e-05</v>
      </c>
    </row>
    <row r="29">
      <c r="A29" s="15" t="inlineStr">
        <is>
          <t>1-2月</t>
        </is>
      </c>
      <c r="B29" s="15" t="inlineStr">
        <is>
          <t>五、酒店客户</t>
        </is>
      </c>
      <c r="C29" s="15" t="inlineStr">
        <is>
          <t>酒店住宿团队</t>
        </is>
      </c>
      <c r="D29" s="15" t="inlineStr">
        <is>
          <t>住宿团队</t>
        </is>
      </c>
      <c r="E29" s="15" t="inlineStr">
        <is>
          <t>硬件设施</t>
        </is>
      </c>
      <c r="F29" s="15" t="inlineStr">
        <is>
          <t>硬件设施</t>
        </is>
      </c>
      <c r="G29" s="17" t="n">
        <v>9.859999999999999</v>
      </c>
      <c r="H29" s="17" t="n">
        <v>0.125</v>
      </c>
      <c r="I29" s="17" t="n">
        <v>0.09090909090909091</v>
      </c>
      <c r="J29" s="17" t="n">
        <v>1</v>
      </c>
      <c r="K29" s="17" t="n">
        <v>0.3333333333333333</v>
      </c>
      <c r="L29" s="17">
        <f>PRODUCT(H29:K29)</f>
        <v>0.003787878787878788</v>
      </c>
      <c r="M29" s="17">
        <f>G29*L29</f>
        <v>0.037348484848484846</v>
      </c>
      <c r="N29" s="17">
        <f>IF(K29=0,H29*I29,L29)</f>
        <v>0.003787878787878788</v>
      </c>
      <c r="O29" s="17">
        <f>G29*N29</f>
        <v>0.037348484848484846</v>
      </c>
      <c r="P29" s="15" t="n"/>
      <c r="Q29" s="15" t="inlineStr">
        <is>
          <t>3月</t>
        </is>
      </c>
      <c r="R29" s="15" t="inlineStr">
        <is>
          <t>酒店餐饮客户</t>
        </is>
      </c>
      <c r="S29" s="17" t="n">
        <v>9.59</v>
      </c>
      <c r="T29" s="17">
        <f>SUMIFS($M$2:$M$383,$A$2:$A$383,Q29,$C$2:$C$383,R29)/V29</f>
        <v>9.5875</v>
      </c>
      <c r="U29" s="17">
        <f>S29-T29</f>
        <v>0.0024999999999995026</v>
      </c>
      <c r="V29" s="17" t="n">
        <v>0.007352941176470588</v>
      </c>
      <c r="W29" s="17">
        <f>S29*V29</f>
        <v>0.07051470588235294</v>
      </c>
      <c r="X29" s="17">
        <f>U29*V29</f>
        <v>1.8382352941172813e-05</v>
      </c>
    </row>
    <row r="30">
      <c r="A30" s="15" t="inlineStr">
        <is>
          <t>1-2月</t>
        </is>
      </c>
      <c r="B30" s="15" t="inlineStr">
        <is>
          <t>五、酒店客户</t>
        </is>
      </c>
      <c r="C30" s="15" t="inlineStr">
        <is>
          <t>酒店住宿团队</t>
        </is>
      </c>
      <c r="D30" s="15" t="inlineStr">
        <is>
          <t>住宿团队</t>
        </is>
      </c>
      <c r="E30" s="15" t="inlineStr">
        <is>
          <t>入住服务</t>
        </is>
      </c>
      <c r="F30" s="15" t="inlineStr">
        <is>
          <t>产品服务</t>
        </is>
      </c>
      <c r="G30" s="17" t="n">
        <v>10</v>
      </c>
      <c r="H30" s="17" t="n">
        <v>0.125</v>
      </c>
      <c r="I30" s="17" t="n">
        <v>0.09090909090909091</v>
      </c>
      <c r="J30" s="17" t="n">
        <v>1</v>
      </c>
      <c r="K30" s="17" t="n">
        <v>0.3333333333333333</v>
      </c>
      <c r="L30" s="17">
        <f>PRODUCT(H30:K30)</f>
        <v>0.003787878787878788</v>
      </c>
      <c r="M30" s="17">
        <f>G30*L30</f>
        <v>0.03787878787878788</v>
      </c>
      <c r="N30" s="17">
        <f>IF(K30=0,H30*I30,L30)</f>
        <v>0.003787878787878788</v>
      </c>
      <c r="O30" s="17">
        <f>G30*N30</f>
        <v>0.03787878787878788</v>
      </c>
      <c r="P30" s="15" t="n"/>
      <c r="Q30" s="15" t="inlineStr">
        <is>
          <t>4月</t>
        </is>
      </c>
      <c r="R30" s="15" t="inlineStr">
        <is>
          <t>展览活动主（承）办</t>
        </is>
      </c>
      <c r="S30" s="17" t="n">
        <v>9.609999999999999</v>
      </c>
      <c r="T30" s="17">
        <f>SUMIFS($M$2:$M$383,$A$2:$A$383,Q30,$C$2:$C$383,R30)/V30</f>
        <v>9.606666666666666</v>
      </c>
      <c r="U30" s="17">
        <f>S30-T30</f>
        <v>0.0033333333333338544</v>
      </c>
      <c r="V30" s="17" t="n">
        <v>0.008928571428571428</v>
      </c>
      <c r="W30" s="17">
        <f>S30*V30</f>
        <v>0.08580357142857142</v>
      </c>
      <c r="X30" s="17">
        <f>U30*V30</f>
        <v>2.9761904761909414e-05</v>
      </c>
    </row>
    <row r="31">
      <c r="A31" s="15" t="inlineStr">
        <is>
          <t>1-2月</t>
        </is>
      </c>
      <c r="B31" s="15" t="inlineStr">
        <is>
          <t>五、酒店客户</t>
        </is>
      </c>
      <c r="C31" s="15" t="inlineStr">
        <is>
          <t>酒店住宿团队</t>
        </is>
      </c>
      <c r="D31" s="15" t="inlineStr">
        <is>
          <t>住宿团队</t>
        </is>
      </c>
      <c r="E31" s="15" t="inlineStr">
        <is>
          <t>餐饮服务</t>
        </is>
      </c>
      <c r="F31" s="15" t="inlineStr">
        <is>
          <t>餐饮服务</t>
        </is>
      </c>
      <c r="G31" s="17" t="n">
        <v>9.970000000000001</v>
      </c>
      <c r="H31" s="17" t="n">
        <v>0.125</v>
      </c>
      <c r="I31" s="17" t="n">
        <v>0.09090909090909091</v>
      </c>
      <c r="J31" s="17" t="n">
        <v>1</v>
      </c>
      <c r="K31" s="17" t="n">
        <v>0.3333333333333333</v>
      </c>
      <c r="L31" s="17">
        <f>PRODUCT(H31:K31)</f>
        <v>0.003787878787878788</v>
      </c>
      <c r="M31" s="17">
        <f>G31*L31</f>
        <v>0.037765151515151515</v>
      </c>
      <c r="N31" s="17">
        <f>IF(K31=0,H31*I31,L31)</f>
        <v>0.003787878787878788</v>
      </c>
      <c r="O31" s="17">
        <f>G31*N31</f>
        <v>0.037765151515151515</v>
      </c>
      <c r="P31" s="15" t="n"/>
      <c r="Q31" s="15" t="inlineStr">
        <is>
          <t>4月</t>
        </is>
      </c>
      <c r="R31" s="15" t="inlineStr">
        <is>
          <t>参展商</t>
        </is>
      </c>
      <c r="S31" s="17" t="n">
        <v>9.49</v>
      </c>
      <c r="T31" s="17">
        <f>SUMIFS($M$2:$M$383,$A$2:$A$383,Q31,$C$2:$C$383,R31)/V31</f>
        <v>9.493333333333334</v>
      </c>
      <c r="U31" s="17">
        <f>S31-T31</f>
        <v>-0.0033333333333338544</v>
      </c>
      <c r="V31" s="17" t="n">
        <v>0.008928571428571428</v>
      </c>
      <c r="W31" s="17">
        <f>S31*V31</f>
        <v>0.08473214285714285</v>
      </c>
      <c r="X31" s="17">
        <f>U31*V31</f>
        <v>-2.9761904761909414e-05</v>
      </c>
    </row>
    <row r="32">
      <c r="A32" s="15" t="inlineStr">
        <is>
          <t>1-2月</t>
        </is>
      </c>
      <c r="B32" s="15" t="inlineStr">
        <is>
          <t>五、酒店客户</t>
        </is>
      </c>
      <c r="C32" s="15" t="inlineStr">
        <is>
          <t>酒店参会客户</t>
        </is>
      </c>
      <c r="D32" s="15" t="inlineStr">
        <is>
          <t>酒店参会客户</t>
        </is>
      </c>
      <c r="E32" s="15" t="inlineStr">
        <is>
          <t>会展服务</t>
        </is>
      </c>
      <c r="F32" s="15" t="inlineStr">
        <is>
          <t>产品服务</t>
        </is>
      </c>
      <c r="G32" s="17" t="n">
        <v>10</v>
      </c>
      <c r="H32" s="17" t="n">
        <v>0.125</v>
      </c>
      <c r="I32" s="17" t="n">
        <v>0.09090909090909091</v>
      </c>
      <c r="J32" s="17" t="n">
        <v>1</v>
      </c>
      <c r="K32" s="17" t="n">
        <v>0.3333333333333333</v>
      </c>
      <c r="L32" s="17">
        <f>PRODUCT(H32:K32)</f>
        <v>0.003787878787878788</v>
      </c>
      <c r="M32" s="17">
        <f>G32*L32</f>
        <v>0.03787878787878788</v>
      </c>
      <c r="N32" s="17">
        <f>IF(K32=0,H32*I32,L32)</f>
        <v>0.003787878787878788</v>
      </c>
      <c r="O32" s="17">
        <f>G32*N32</f>
        <v>0.03787878787878788</v>
      </c>
      <c r="P32" s="15" t="n"/>
      <c r="Q32" s="15" t="inlineStr">
        <is>
          <t>4月</t>
        </is>
      </c>
      <c r="R32" s="15" t="inlineStr">
        <is>
          <t>专业观众</t>
        </is>
      </c>
      <c r="S32" s="17" t="n">
        <v>9.58</v>
      </c>
      <c r="T32" s="17">
        <f>SUMIFS($M$2:$M$383,$A$2:$A$383,Q32,$C$2:$C$383,R32)/V32</f>
        <v>9.583333333333334</v>
      </c>
      <c r="U32" s="17">
        <f>S32-T32</f>
        <v>-0.0033333333333338544</v>
      </c>
      <c r="V32" s="17" t="n">
        <v>0.008928571428571428</v>
      </c>
      <c r="W32" s="17">
        <f>S32*V32</f>
        <v>0.08553571428571428</v>
      </c>
      <c r="X32" s="17">
        <f>U32*V32</f>
        <v>-2.9761904761909414e-05</v>
      </c>
    </row>
    <row r="33">
      <c r="A33" s="15" t="inlineStr">
        <is>
          <t>1-2月</t>
        </is>
      </c>
      <c r="B33" s="15" t="inlineStr">
        <is>
          <t>五、酒店客户</t>
        </is>
      </c>
      <c r="C33" s="15" t="inlineStr">
        <is>
          <t>酒店参会客户</t>
        </is>
      </c>
      <c r="D33" s="15" t="inlineStr">
        <is>
          <t>酒店参会客户</t>
        </is>
      </c>
      <c r="E33" s="15" t="inlineStr">
        <is>
          <t>硬件设施</t>
        </is>
      </c>
      <c r="F33" s="15" t="inlineStr">
        <is>
          <t>硬件设施</t>
        </is>
      </c>
      <c r="G33" s="17" t="n">
        <v>9.630000000000001</v>
      </c>
      <c r="H33" s="17" t="n">
        <v>0.125</v>
      </c>
      <c r="I33" s="17" t="n">
        <v>0.09090909090909091</v>
      </c>
      <c r="J33" s="17" t="n">
        <v>1</v>
      </c>
      <c r="K33" s="17" t="n">
        <v>0.3333333333333333</v>
      </c>
      <c r="L33" s="17">
        <f>PRODUCT(H33:K33)</f>
        <v>0.003787878787878788</v>
      </c>
      <c r="M33" s="17">
        <f>G33*L33</f>
        <v>0.03647727272727273</v>
      </c>
      <c r="N33" s="17">
        <f>IF(K33=0,H33*I33,L33)</f>
        <v>0.003787878787878788</v>
      </c>
      <c r="O33" s="17">
        <f>G33*N33</f>
        <v>0.03647727272727273</v>
      </c>
      <c r="P33" s="15" t="n"/>
      <c r="Q33" s="15" t="inlineStr">
        <is>
          <t>4月</t>
        </is>
      </c>
      <c r="R33" s="15" t="inlineStr">
        <is>
          <t>会展服务商</t>
        </is>
      </c>
      <c r="S33" s="17" t="n">
        <v>9.9</v>
      </c>
      <c r="T33" s="17">
        <f>SUMIFS($M$2:$M$383,$A$2:$A$383,Q33,$C$2:$C$383,R33)/V33</f>
        <v>9.9</v>
      </c>
      <c r="U33" s="17">
        <f>S33-T33</f>
        <v>0.0</v>
      </c>
      <c r="V33" s="17" t="n">
        <v>0.008928571428571428</v>
      </c>
      <c r="W33" s="17">
        <f>S33*V33</f>
        <v>0.08839285714285715</v>
      </c>
      <c r="X33" s="17">
        <f>U33*V33</f>
        <v>0.0</v>
      </c>
    </row>
    <row r="34">
      <c r="A34" s="15" t="inlineStr">
        <is>
          <t>1-2月</t>
        </is>
      </c>
      <c r="B34" s="15" t="inlineStr">
        <is>
          <t>五、酒店客户</t>
        </is>
      </c>
      <c r="C34" s="15" t="inlineStr">
        <is>
          <t>酒店参会客户</t>
        </is>
      </c>
      <c r="D34" s="15" t="inlineStr">
        <is>
          <t>酒店参会客户</t>
        </is>
      </c>
      <c r="E34" s="15" t="inlineStr">
        <is>
          <t>配套服务</t>
        </is>
      </c>
      <c r="F34" s="15" t="inlineStr">
        <is>
          <t>配套服务</t>
        </is>
      </c>
      <c r="G34" s="17" t="n">
        <v>9.83</v>
      </c>
      <c r="H34" s="17" t="n">
        <v>0.125</v>
      </c>
      <c r="I34" s="17" t="n">
        <v>0.09090909090909091</v>
      </c>
      <c r="J34" s="17" t="n">
        <v>1</v>
      </c>
      <c r="K34" s="17" t="n">
        <v>0.3333333333333333</v>
      </c>
      <c r="L34" s="17">
        <f>PRODUCT(H34:K34)</f>
        <v>0.003787878787878788</v>
      </c>
      <c r="M34" s="17">
        <f>G34*L34</f>
        <v>0.03723484848484849</v>
      </c>
      <c r="N34" s="17">
        <f>IF(K34=0,H34*I34,L34)</f>
        <v>0.003787878787878788</v>
      </c>
      <c r="O34" s="17">
        <f>G34*N34</f>
        <v>0.03723484848484849</v>
      </c>
      <c r="P34" s="15" t="n"/>
      <c r="Q34" s="15" t="inlineStr">
        <is>
          <t>4月</t>
        </is>
      </c>
      <c r="R34" s="15" t="inlineStr">
        <is>
          <t>会议活动主（承）办</t>
        </is>
      </c>
      <c r="S34" s="17" t="n">
        <v>9.74</v>
      </c>
      <c r="T34" s="17">
        <f>SUMIFS($M$2:$M$383,$A$2:$A$383,Q34,$C$2:$C$383,R34)/V34</f>
        <v>9.74</v>
      </c>
      <c r="U34" s="17">
        <f>S34-T34</f>
        <v>0.0</v>
      </c>
      <c r="V34" s="17" t="n">
        <v>0.008928571428571428</v>
      </c>
      <c r="W34" s="17">
        <f>S34*V34</f>
        <v>0.08696428571428572</v>
      </c>
      <c r="X34" s="17">
        <f>U34*V34</f>
        <v>0.0</v>
      </c>
    </row>
    <row r="35">
      <c r="A35" s="15" t="inlineStr">
        <is>
          <t>1-2月</t>
        </is>
      </c>
      <c r="B35" s="15" t="inlineStr">
        <is>
          <t>五、酒店客户</t>
        </is>
      </c>
      <c r="C35" s="15" t="inlineStr">
        <is>
          <t>酒店参会客户</t>
        </is>
      </c>
      <c r="D35" s="15" t="inlineStr">
        <is>
          <t>配套服务子项</t>
        </is>
      </c>
      <c r="E35" s="15" t="inlineStr">
        <is>
          <t>其中：餐饮服务</t>
        </is>
      </c>
      <c r="F35" s="15" t="inlineStr">
        <is>
          <t>餐饮服务</t>
        </is>
      </c>
      <c r="G35" s="17" t="n">
        <v>9.67</v>
      </c>
      <c r="H35" s="17" t="n">
        <v>0.125</v>
      </c>
      <c r="I35" s="17" t="n">
        <v>0.09090909090909091</v>
      </c>
      <c r="J35" s="17" t="n">
        <v>1</v>
      </c>
      <c r="K35" s="17" t="n">
        <v>0</v>
      </c>
      <c r="L35" s="17">
        <f>PRODUCT(H35:K35)</f>
        <v>0.0</v>
      </c>
      <c r="M35" s="17">
        <f>G35*L35</f>
        <v>0.0</v>
      </c>
      <c r="N35" s="17">
        <f>IF(K35=0,H35*I35,L35)</f>
        <v>0.011363636363636364</v>
      </c>
      <c r="O35" s="17">
        <f>G35*N35</f>
        <v>0.10988636363636364</v>
      </c>
      <c r="P35" s="15" t="n"/>
      <c r="Q35" s="15" t="inlineStr">
        <is>
          <t>4月</t>
        </is>
      </c>
      <c r="R35" s="15" t="inlineStr">
        <is>
          <t>参会客户</t>
        </is>
      </c>
      <c r="S35" s="17" t="n">
        <v>9.67</v>
      </c>
      <c r="T35" s="17">
        <f>SUMIFS($M$2:$M$383,$A$2:$A$383,Q35,$C$2:$C$383,R35)/V35</f>
        <v>9.673333333333334</v>
      </c>
      <c r="U35" s="17">
        <f>S35-T35</f>
        <v>-0.0033333333333338544</v>
      </c>
      <c r="V35" s="17" t="n">
        <v>0.008928571428571428</v>
      </c>
      <c r="W35" s="17">
        <f>S35*V35</f>
        <v>0.08633928571428572</v>
      </c>
      <c r="X35" s="17">
        <f>U35*V35</f>
        <v>-2.9761904761909414e-05</v>
      </c>
    </row>
    <row r="36">
      <c r="A36" s="15" t="inlineStr">
        <is>
          <t>1-2月</t>
        </is>
      </c>
      <c r="B36" s="15" t="inlineStr">
        <is>
          <t>五、酒店客户</t>
        </is>
      </c>
      <c r="C36" s="15" t="inlineStr">
        <is>
          <t>酒店餐饮客户</t>
        </is>
      </c>
      <c r="D36" s="15" t="inlineStr">
        <is>
          <t>酒店宴会</t>
        </is>
      </c>
      <c r="E36" s="15" t="inlineStr">
        <is>
          <t>餐饮服务</t>
        </is>
      </c>
      <c r="F36" s="15" t="inlineStr">
        <is>
          <t>餐饮服务</t>
        </is>
      </c>
      <c r="G36" s="17" t="n">
        <v>10</v>
      </c>
      <c r="H36" s="17" t="n">
        <v>0.125</v>
      </c>
      <c r="I36" s="17" t="n">
        <v>0.09090909090909091</v>
      </c>
      <c r="J36" s="17" t="n">
        <v>0.5</v>
      </c>
      <c r="K36" s="17" t="n">
        <v>0.5</v>
      </c>
      <c r="L36" s="17">
        <f>PRODUCT(H36:K36)</f>
        <v>0.002840909090909091</v>
      </c>
      <c r="M36" s="17">
        <f>G36*L36</f>
        <v>0.02840909090909091</v>
      </c>
      <c r="N36" s="17">
        <f>IF(K36=0,H36*I36,L36)</f>
        <v>0.002840909090909091</v>
      </c>
      <c r="O36" s="17">
        <f>G36*N36</f>
        <v>0.02840909090909091</v>
      </c>
      <c r="P36" s="15" t="n"/>
      <c r="Q36" s="15" t="inlineStr">
        <is>
          <t>4月</t>
        </is>
      </c>
      <c r="R36" s="15" t="inlineStr">
        <is>
          <t>商务简餐</t>
        </is>
      </c>
      <c r="S36" s="17" t="n">
        <v>9.550000000000001</v>
      </c>
      <c r="T36" s="17">
        <f>SUMIFS($M$2:$M$383,$A$2:$A$383,Q36,$C$2:$C$383,R36)/V36</f>
        <v>9.55</v>
      </c>
      <c r="U36" s="17">
        <f>S36-T36</f>
        <v>0.0</v>
      </c>
      <c r="V36" s="17" t="n">
        <v>0.008928571428571428</v>
      </c>
      <c r="W36" s="17">
        <f>S36*V36</f>
        <v>0.08526785714285715</v>
      </c>
      <c r="X36" s="17">
        <f>U36*V36</f>
        <v>0.0</v>
      </c>
    </row>
    <row r="37">
      <c r="A37" s="15" t="inlineStr">
        <is>
          <t>1-2月</t>
        </is>
      </c>
      <c r="B37" s="15" t="inlineStr">
        <is>
          <t>五、酒店客户</t>
        </is>
      </c>
      <c r="C37" s="15" t="inlineStr">
        <is>
          <t>酒店餐饮客户</t>
        </is>
      </c>
      <c r="D37" s="15" t="inlineStr">
        <is>
          <t>酒店宴会</t>
        </is>
      </c>
      <c r="E37" s="15" t="inlineStr">
        <is>
          <t>硬件设施</t>
        </is>
      </c>
      <c r="F37" s="15" t="inlineStr">
        <is>
          <t>硬件设施</t>
        </is>
      </c>
      <c r="G37" s="17" t="n">
        <v>10</v>
      </c>
      <c r="H37" s="17" t="n">
        <v>0.125</v>
      </c>
      <c r="I37" s="17" t="n">
        <v>0.09090909090909091</v>
      </c>
      <c r="J37" s="17" t="n">
        <v>0.5</v>
      </c>
      <c r="K37" s="17" t="n">
        <v>0.5</v>
      </c>
      <c r="L37" s="17">
        <f>PRODUCT(H37:K37)</f>
        <v>0.002840909090909091</v>
      </c>
      <c r="M37" s="17">
        <f>G37*L37</f>
        <v>0.02840909090909091</v>
      </c>
      <c r="N37" s="17">
        <f>IF(K37=0,H37*I37,L37)</f>
        <v>0.002840909090909091</v>
      </c>
      <c r="O37" s="17">
        <f>G37*N37</f>
        <v>0.02840909090909091</v>
      </c>
      <c r="P37" s="15" t="n"/>
      <c r="Q37" s="15" t="inlineStr">
        <is>
          <t>4月</t>
        </is>
      </c>
      <c r="R37" s="15" t="inlineStr">
        <is>
          <t>特色美食廊</t>
        </is>
      </c>
      <c r="S37" s="17" t="n">
        <v>9.18</v>
      </c>
      <c r="T37" s="17">
        <f>SUMIFS($M$2:$M$383,$A$2:$A$383,Q37,$C$2:$C$383,R37)/V37</f>
        <v>9.18</v>
      </c>
      <c r="U37" s="17">
        <f>S37-T37</f>
        <v>0.0</v>
      </c>
      <c r="V37" s="17" t="n">
        <v>0.008928571428571428</v>
      </c>
      <c r="W37" s="17">
        <f>S37*V37</f>
        <v>0.08196428571428571</v>
      </c>
      <c r="X37" s="17">
        <f>U37*V37</f>
        <v>0.0</v>
      </c>
    </row>
    <row r="38">
      <c r="A38" s="15" t="inlineStr">
        <is>
          <t>1-2月</t>
        </is>
      </c>
      <c r="B38" s="15" t="inlineStr">
        <is>
          <t>五、酒店客户</t>
        </is>
      </c>
      <c r="C38" s="15" t="inlineStr">
        <is>
          <t>酒店餐饮客户</t>
        </is>
      </c>
      <c r="D38" s="15" t="inlineStr">
        <is>
          <t>酒店自助餐</t>
        </is>
      </c>
      <c r="E38" s="15" t="inlineStr">
        <is>
          <t>餐饮服务</t>
        </is>
      </c>
      <c r="F38" s="15" t="inlineStr">
        <is>
          <t>餐饮服务</t>
        </is>
      </c>
      <c r="G38" s="17" t="n">
        <v>9.960000000000001</v>
      </c>
      <c r="H38" s="17" t="n">
        <v>0.125</v>
      </c>
      <c r="I38" s="17" t="n">
        <v>0.09090909090909091</v>
      </c>
      <c r="J38" s="17" t="n">
        <v>0.5</v>
      </c>
      <c r="K38" s="17" t="n">
        <v>0.5</v>
      </c>
      <c r="L38" s="17">
        <f>PRODUCT(H38:K38)</f>
        <v>0.002840909090909091</v>
      </c>
      <c r="M38" s="17">
        <f>G38*L38</f>
        <v>0.028295454545454547</v>
      </c>
      <c r="N38" s="17">
        <f>IF(K38=0,H38*I38,L38)</f>
        <v>0.002840909090909091</v>
      </c>
      <c r="O38" s="17">
        <f>G38*N38</f>
        <v>0.028295454545454547</v>
      </c>
      <c r="P38" s="15" t="n"/>
      <c r="Q38" s="15" t="inlineStr">
        <is>
          <t>4月</t>
        </is>
      </c>
      <c r="R38" s="15" t="inlineStr">
        <is>
          <t>婚宴</t>
        </is>
      </c>
      <c r="S38" s="17" t="n">
        <v>9.43</v>
      </c>
      <c r="T38" s="17">
        <f>SUMIFS($M$2:$M$383,$A$2:$A$383,Q38,$C$2:$C$383,R38)/V38</f>
        <v>9.424999999999999</v>
      </c>
      <c r="U38" s="17">
        <f>S38-T38</f>
        <v>0.005000000000000782</v>
      </c>
      <c r="V38" s="17" t="n">
        <v>0.008928571428571428</v>
      </c>
      <c r="W38" s="17">
        <f>S38*V38</f>
        <v>0.08419642857142856</v>
      </c>
      <c r="X38" s="17">
        <f>U38*V38</f>
        <v>4.4642857142864116e-05</v>
      </c>
    </row>
    <row r="39">
      <c r="A39" s="15" t="inlineStr">
        <is>
          <t>1-2月</t>
        </is>
      </c>
      <c r="B39" s="15" t="inlineStr">
        <is>
          <t>五、酒店客户</t>
        </is>
      </c>
      <c r="C39" s="15" t="inlineStr">
        <is>
          <t>酒店餐饮客户</t>
        </is>
      </c>
      <c r="D39" s="15" t="inlineStr">
        <is>
          <t>酒店自助餐</t>
        </is>
      </c>
      <c r="E39" s="15" t="inlineStr">
        <is>
          <t>硬件设施</t>
        </is>
      </c>
      <c r="F39" s="15" t="inlineStr">
        <is>
          <t>硬件设施</t>
        </is>
      </c>
      <c r="G39" s="17" t="n">
        <v>9.93</v>
      </c>
      <c r="H39" s="17" t="n">
        <v>0.125</v>
      </c>
      <c r="I39" s="17" t="n">
        <v>0.09090909090909091</v>
      </c>
      <c r="J39" s="17" t="n">
        <v>0.5</v>
      </c>
      <c r="K39" s="17" t="n">
        <v>0.5</v>
      </c>
      <c r="L39" s="17">
        <f>PRODUCT(H39:K39)</f>
        <v>0.002840909090909091</v>
      </c>
      <c r="M39" s="17">
        <f>G39*L39</f>
        <v>0.028210227272727272</v>
      </c>
      <c r="N39" s="17">
        <f>IF(K39=0,H39*I39,L39)</f>
        <v>0.002840909090909091</v>
      </c>
      <c r="O39" s="17">
        <f>G39*N39</f>
        <v>0.028210227272727272</v>
      </c>
      <c r="P39" s="15" t="n"/>
      <c r="Q39" s="15" t="inlineStr">
        <is>
          <t>4月</t>
        </is>
      </c>
      <c r="R39" s="15" t="inlineStr">
        <is>
          <t>自助餐</t>
        </is>
      </c>
      <c r="S39" s="17" t="n">
        <v>9.31</v>
      </c>
      <c r="T39" s="17">
        <f>SUMIFS($M$2:$M$383,$A$2:$A$383,Q39,$C$2:$C$383,R39)/V39</f>
        <v>9.309999999999999</v>
      </c>
      <c r="U39" s="17">
        <f>S39-T39</f>
        <v>1.7763568394002505e-15</v>
      </c>
      <c r="V39" s="17" t="n">
        <v>0.008928571428571428</v>
      </c>
      <c r="W39" s="17">
        <f>S39*V39</f>
        <v>0.083125</v>
      </c>
      <c r="X39" s="17">
        <f>U39*V39</f>
        <v>1.586032892321652e-17</v>
      </c>
    </row>
    <row r="40">
      <c r="A40" s="15" t="inlineStr">
        <is>
          <t>3月</t>
        </is>
      </c>
      <c r="B40" s="15" t="inlineStr">
        <is>
          <t>一、会展客户</t>
        </is>
      </c>
      <c r="C40" s="15" t="inlineStr">
        <is>
          <t>展览活动主（承）办</t>
        </is>
      </c>
      <c r="D40" s="15" t="inlineStr">
        <is>
          <t>展览主承办</t>
        </is>
      </c>
      <c r="E40" s="15" t="inlineStr">
        <is>
          <t>会展服务</t>
        </is>
      </c>
      <c r="F40" s="15" t="inlineStr">
        <is>
          <t>产品服务</t>
        </is>
      </c>
      <c r="G40" s="17" t="n">
        <v>9.91</v>
      </c>
      <c r="H40" s="17" t="n">
        <v>0.125</v>
      </c>
      <c r="I40" s="17" t="n">
        <v>0.05882352941176471</v>
      </c>
      <c r="J40" s="17" t="n">
        <v>1</v>
      </c>
      <c r="K40" s="17" t="n">
        <v>0.3333333333333333</v>
      </c>
      <c r="L40" s="17">
        <f>PRODUCT(H40:K40)</f>
        <v>0.0024509803921568627</v>
      </c>
      <c r="M40" s="17">
        <f>G40*L40</f>
        <v>0.02428921568627451</v>
      </c>
      <c r="N40" s="17">
        <f>IF(K40=0,H40*I40,L40)</f>
        <v>0.0024509803921568627</v>
      </c>
      <c r="O40" s="17">
        <f>G40*N40</f>
        <v>0.02428921568627451</v>
      </c>
      <c r="P40" s="15" t="n"/>
      <c r="Q40" s="15" t="inlineStr">
        <is>
          <t>4月</t>
        </is>
      </c>
      <c r="R40" s="15" t="inlineStr">
        <is>
          <t>宴会</t>
        </is>
      </c>
      <c r="S40" s="17" t="n">
        <v>9.779999999999999</v>
      </c>
      <c r="T40" s="17">
        <f>SUMIFS($M$2:$M$383,$A$2:$A$383,Q40,$C$2:$C$383,R40)/V40</f>
        <v>9.780000000000001</v>
      </c>
      <c r="U40" s="17">
        <f>S40-T40</f>
        <v>-1.7763568394002505e-15</v>
      </c>
      <c r="V40" s="17" t="n">
        <v>0.008928571428571428</v>
      </c>
      <c r="W40" s="17">
        <f>S40*V40</f>
        <v>0.08732142857142856</v>
      </c>
      <c r="X40" s="17">
        <f>U40*V40</f>
        <v>-1.586032892321652e-17</v>
      </c>
    </row>
    <row r="41">
      <c r="A41" s="15" t="inlineStr">
        <is>
          <t>3月</t>
        </is>
      </c>
      <c r="B41" s="15" t="inlineStr">
        <is>
          <t>一、会展客户</t>
        </is>
      </c>
      <c r="C41" s="15" t="inlineStr">
        <is>
          <t>展览活动主（承）办</t>
        </is>
      </c>
      <c r="D41" s="15" t="inlineStr">
        <is>
          <t>展览主承办</t>
        </is>
      </c>
      <c r="E41" s="15" t="inlineStr">
        <is>
          <t>硬件设施</t>
        </is>
      </c>
      <c r="F41" s="15" t="inlineStr">
        <is>
          <t>硬件设施</t>
        </is>
      </c>
      <c r="G41" s="17" t="n">
        <v>9.27</v>
      </c>
      <c r="H41" s="17" t="n">
        <v>0.125</v>
      </c>
      <c r="I41" s="17" t="n">
        <v>0.05882352941176471</v>
      </c>
      <c r="J41" s="17" t="n">
        <v>1</v>
      </c>
      <c r="K41" s="17" t="n">
        <v>0.3333333333333333</v>
      </c>
      <c r="L41" s="17">
        <f>PRODUCT(H41:K41)</f>
        <v>0.0024509803921568627</v>
      </c>
      <c r="M41" s="17">
        <f>G41*L41</f>
        <v>0.022720588235294117</v>
      </c>
      <c r="N41" s="17">
        <f>IF(K41=0,H41*I41,L41)</f>
        <v>0.0024509803921568627</v>
      </c>
      <c r="O41" s="17">
        <f>G41*N41</f>
        <v>0.022720588235294117</v>
      </c>
      <c r="P41" s="15" t="n"/>
      <c r="Q41" s="15" t="inlineStr">
        <is>
          <t>4月</t>
        </is>
      </c>
      <c r="R41" s="15" t="inlineStr">
        <is>
          <t>酒店散客</t>
        </is>
      </c>
      <c r="S41" s="17" t="n">
        <v>9.880000000000001</v>
      </c>
      <c r="T41" s="17">
        <f>SUMIFS($M$2:$M$383,$A$2:$A$383,Q41,$C$2:$C$383,R41)/V41</f>
        <v>9.883333333333333</v>
      </c>
      <c r="U41" s="17">
        <f>S41-T41</f>
        <v>-0.003333333333332078</v>
      </c>
      <c r="V41" s="17" t="n">
        <v>0.008928571428571428</v>
      </c>
      <c r="W41" s="17">
        <f>S41*V41</f>
        <v>0.08821428571428572</v>
      </c>
      <c r="X41" s="17">
        <f>U41*V41</f>
        <v>-2.9761904761893554e-05</v>
      </c>
    </row>
    <row r="42">
      <c r="A42" s="15" t="inlineStr">
        <is>
          <t>3月</t>
        </is>
      </c>
      <c r="B42" s="15" t="inlineStr">
        <is>
          <t>一、会展客户</t>
        </is>
      </c>
      <c r="C42" s="15" t="inlineStr">
        <is>
          <t>展览活动主（承）办</t>
        </is>
      </c>
      <c r="D42" s="15" t="inlineStr">
        <is>
          <t>展览主承办</t>
        </is>
      </c>
      <c r="E42" s="15" t="inlineStr">
        <is>
          <t>配套服务</t>
        </is>
      </c>
      <c r="F42" s="15" t="inlineStr">
        <is>
          <t>配套服务</t>
        </is>
      </c>
      <c r="G42" s="17" t="n">
        <v>9.51</v>
      </c>
      <c r="H42" s="17" t="n">
        <v>0.125</v>
      </c>
      <c r="I42" s="17" t="n">
        <v>0.05882352941176471</v>
      </c>
      <c r="J42" s="17" t="n">
        <v>1</v>
      </c>
      <c r="K42" s="17" t="n">
        <v>0.3333333333333333</v>
      </c>
      <c r="L42" s="17">
        <f>PRODUCT(H42:K42)</f>
        <v>0.0024509803921568627</v>
      </c>
      <c r="M42" s="17">
        <f>G42*L42</f>
        <v>0.023308823529411764</v>
      </c>
      <c r="N42" s="17">
        <f>IF(K42=0,H42*I42,L42)</f>
        <v>0.0024509803921568627</v>
      </c>
      <c r="O42" s="17">
        <f>G42*N42</f>
        <v>0.023308823529411764</v>
      </c>
      <c r="P42" s="15" t="n"/>
      <c r="Q42" s="15" t="inlineStr">
        <is>
          <t>4月</t>
        </is>
      </c>
      <c r="R42" s="15" t="inlineStr">
        <is>
          <t>酒店参会客户</t>
        </is>
      </c>
      <c r="S42" s="17" t="n">
        <v>9.859999999999999</v>
      </c>
      <c r="T42" s="17">
        <f>SUMIFS($M$2:$M$383,$A$2:$A$383,Q42,$C$2:$C$383,R42)/V42</f>
        <v>9.856666666666667</v>
      </c>
      <c r="U42" s="17">
        <f>S42-T42</f>
        <v>0.003333333333332078</v>
      </c>
      <c r="V42" s="17" t="n">
        <v>0.008928571428571428</v>
      </c>
      <c r="W42" s="17">
        <f>S42*V42</f>
        <v>0.08803571428571427</v>
      </c>
      <c r="X42" s="17">
        <f>U42*V42</f>
        <v>2.9761904761893554e-05</v>
      </c>
    </row>
    <row r="43">
      <c r="A43" s="15" t="inlineStr">
        <is>
          <t>3月</t>
        </is>
      </c>
      <c r="B43" s="15" t="inlineStr">
        <is>
          <t>一、会展客户</t>
        </is>
      </c>
      <c r="C43" s="15" t="inlineStr">
        <is>
          <t>展览活动主（承）办</t>
        </is>
      </c>
      <c r="D43" s="15" t="inlineStr">
        <is>
          <t>配套服务子项</t>
        </is>
      </c>
      <c r="E43" s="15" t="inlineStr">
        <is>
          <t>其中：餐饮服务</t>
        </is>
      </c>
      <c r="F43" s="15" t="inlineStr">
        <is>
          <t>餐饮服务</t>
        </is>
      </c>
      <c r="G43" s="17" t="n">
        <v>8.9</v>
      </c>
      <c r="H43" s="17" t="n">
        <v>0.125</v>
      </c>
      <c r="I43" s="17" t="n">
        <v>0.05882352941176471</v>
      </c>
      <c r="J43" s="17" t="n">
        <v>1</v>
      </c>
      <c r="K43" s="17" t="n">
        <v>0</v>
      </c>
      <c r="L43" s="17">
        <f>PRODUCT(H43:K43)</f>
        <v>0.0</v>
      </c>
      <c r="M43" s="17">
        <f>G43*L43</f>
        <v>0.0</v>
      </c>
      <c r="N43" s="17">
        <f>IF(K43=0,H43*I43,L43)</f>
        <v>0.007352941176470588</v>
      </c>
      <c r="O43" s="17">
        <f>G43*N43</f>
        <v>0.06544117647058824</v>
      </c>
      <c r="P43" s="15" t="n"/>
      <c r="Q43" s="15" t="inlineStr">
        <is>
          <t>4月</t>
        </is>
      </c>
      <c r="R43" s="15" t="inlineStr">
        <is>
          <t>酒店餐饮客户</t>
        </is>
      </c>
      <c r="S43" s="17" t="n">
        <v>9.6</v>
      </c>
      <c r="T43" s="17">
        <f>SUMIFS($M$2:$M$383,$A$2:$A$383,Q43,$C$2:$C$383,R43)/V43</f>
        <v>9.600000000000001</v>
      </c>
      <c r="U43" s="17">
        <f>S43-T43</f>
        <v>-1.7763568394002505e-15</v>
      </c>
      <c r="V43" s="17" t="n">
        <v>0.008928571428571428</v>
      </c>
      <c r="W43" s="17">
        <f>S43*V43</f>
        <v>0.0857142857142857</v>
      </c>
      <c r="X43" s="17">
        <f>U43*V43</f>
        <v>-1.586032892321652e-17</v>
      </c>
    </row>
    <row r="44">
      <c r="A44" s="15" t="inlineStr">
        <is>
          <t>3月</t>
        </is>
      </c>
      <c r="B44" s="15" t="inlineStr">
        <is>
          <t>一、会展客户</t>
        </is>
      </c>
      <c r="C44" s="15" t="inlineStr">
        <is>
          <t>参展商</t>
        </is>
      </c>
      <c r="D44" s="15" t="inlineStr">
        <is>
          <t>参展商</t>
        </is>
      </c>
      <c r="E44" s="15" t="inlineStr">
        <is>
          <t>会场服务</t>
        </is>
      </c>
      <c r="F44" s="15" t="inlineStr">
        <is>
          <t>产品服务</t>
        </is>
      </c>
      <c r="G44" s="17" t="n">
        <v>9.859999999999999</v>
      </c>
      <c r="H44" s="17" t="n">
        <v>0.125</v>
      </c>
      <c r="I44" s="17" t="n">
        <v>0.05882352941176471</v>
      </c>
      <c r="J44" s="17" t="n">
        <v>1</v>
      </c>
      <c r="K44" s="17" t="n">
        <v>0.3333333333333333</v>
      </c>
      <c r="L44" s="17">
        <f>PRODUCT(H44:K44)</f>
        <v>0.0024509803921568627</v>
      </c>
      <c r="M44" s="17">
        <f>G44*L44</f>
        <v>0.024166666666666666</v>
      </c>
      <c r="N44" s="17">
        <f>IF(K44=0,H44*I44,L44)</f>
        <v>0.0024509803921568627</v>
      </c>
      <c r="O44" s="17">
        <f>G44*N44</f>
        <v>0.024166666666666666</v>
      </c>
      <c r="P44" s="15" t="n"/>
      <c r="Q44" s="15" t="inlineStr">
        <is>
          <t>5月</t>
        </is>
      </c>
      <c r="R44" s="15" t="inlineStr">
        <is>
          <t>展览活动主（承）办</t>
        </is>
      </c>
      <c r="S44" s="17" t="n">
        <v>9.880000000000001</v>
      </c>
      <c r="T44" s="17">
        <f>SUMIFS($M$2:$M$383,$A$2:$A$383,Q44,$C$2:$C$383,R44)/V44</f>
        <v>9.876666666666665</v>
      </c>
      <c r="U44" s="17">
        <f>S44-T44</f>
        <v>0.0033333333333356308</v>
      </c>
      <c r="V44" s="17" t="n">
        <v>0.008333333333333333</v>
      </c>
      <c r="W44" s="17">
        <f>S44*V44</f>
        <v>0.08233333333333334</v>
      </c>
      <c r="X44" s="17">
        <f>U44*V44</f>
        <v>2.7777777777796922e-05</v>
      </c>
    </row>
    <row r="45">
      <c r="A45" s="15" t="inlineStr">
        <is>
          <t>3月</t>
        </is>
      </c>
      <c r="B45" s="15" t="inlineStr">
        <is>
          <t>一、会展客户</t>
        </is>
      </c>
      <c r="C45" s="15" t="inlineStr">
        <is>
          <t>参展商</t>
        </is>
      </c>
      <c r="D45" s="15" t="inlineStr">
        <is>
          <t>参展商</t>
        </is>
      </c>
      <c r="E45" s="15" t="inlineStr">
        <is>
          <t>硬件设施</t>
        </is>
      </c>
      <c r="F45" s="15" t="inlineStr">
        <is>
          <t>硬件设施</t>
        </is>
      </c>
      <c r="G45" s="17" t="n">
        <v>9.15</v>
      </c>
      <c r="H45" s="17" t="n">
        <v>0.125</v>
      </c>
      <c r="I45" s="17" t="n">
        <v>0.05882352941176471</v>
      </c>
      <c r="J45" s="17" t="n">
        <v>1</v>
      </c>
      <c r="K45" s="17" t="n">
        <v>0.3333333333333333</v>
      </c>
      <c r="L45" s="17">
        <f>PRODUCT(H45:K45)</f>
        <v>0.0024509803921568627</v>
      </c>
      <c r="M45" s="17">
        <f>G45*L45</f>
        <v>0.022426470588235294</v>
      </c>
      <c r="N45" s="17">
        <f>IF(K45=0,H45*I45,L45)</f>
        <v>0.0024509803921568627</v>
      </c>
      <c r="O45" s="17">
        <f>G45*N45</f>
        <v>0.022426470588235294</v>
      </c>
      <c r="P45" s="15" t="n"/>
      <c r="Q45" s="15" t="inlineStr">
        <is>
          <t>5月</t>
        </is>
      </c>
      <c r="R45" s="15" t="inlineStr">
        <is>
          <t>参展商</t>
        </is>
      </c>
      <c r="S45" s="17" t="n">
        <v>9.640000000000001</v>
      </c>
      <c r="T45" s="17">
        <f>SUMIFS($M$2:$M$383,$A$2:$A$383,Q45,$C$2:$C$383,R45)/V45</f>
        <v>9.636666666666665</v>
      </c>
      <c r="U45" s="17">
        <f>S45-T45</f>
        <v>0.0033333333333356308</v>
      </c>
      <c r="V45" s="17" t="n">
        <v>0.008333333333333333</v>
      </c>
      <c r="W45" s="17">
        <f>S45*V45</f>
        <v>0.08033333333333334</v>
      </c>
      <c r="X45" s="17">
        <f>U45*V45</f>
        <v>2.7777777777796922e-05</v>
      </c>
    </row>
    <row r="46">
      <c r="A46" s="15" t="inlineStr">
        <is>
          <t>3月</t>
        </is>
      </c>
      <c r="B46" s="15" t="inlineStr">
        <is>
          <t>一、会展客户</t>
        </is>
      </c>
      <c r="C46" s="15" t="inlineStr">
        <is>
          <t>参展商</t>
        </is>
      </c>
      <c r="D46" s="15" t="inlineStr">
        <is>
          <t>参展商</t>
        </is>
      </c>
      <c r="E46" s="15" t="inlineStr">
        <is>
          <t>配套服务</t>
        </is>
      </c>
      <c r="F46" s="15" t="inlineStr">
        <is>
          <t>配套服务</t>
        </is>
      </c>
      <c r="G46" s="17" t="n">
        <v>9.619999999999999</v>
      </c>
      <c r="H46" s="17" t="n">
        <v>0.125</v>
      </c>
      <c r="I46" s="17" t="n">
        <v>0.05882352941176471</v>
      </c>
      <c r="J46" s="17" t="n">
        <v>1</v>
      </c>
      <c r="K46" s="17" t="n">
        <v>0.3333333333333333</v>
      </c>
      <c r="L46" s="17">
        <f>PRODUCT(H46:K46)</f>
        <v>0.0024509803921568627</v>
      </c>
      <c r="M46" s="17">
        <f>G46*L46</f>
        <v>0.023578431372549016</v>
      </c>
      <c r="N46" s="17">
        <f>IF(K46=0,H46*I46,L46)</f>
        <v>0.0024509803921568627</v>
      </c>
      <c r="O46" s="17">
        <f>G46*N46</f>
        <v>0.023578431372549016</v>
      </c>
      <c r="P46" s="15" t="n"/>
      <c r="Q46" s="15" t="inlineStr">
        <is>
          <t>5月</t>
        </is>
      </c>
      <c r="R46" s="15" t="inlineStr">
        <is>
          <t>专业观众</t>
        </is>
      </c>
      <c r="S46" s="17" t="n">
        <v>9.75</v>
      </c>
      <c r="T46" s="17">
        <f>SUMIFS($M$2:$M$383,$A$2:$A$383,Q46,$C$2:$C$383,R46)/V46</f>
        <v>9.746666666666666</v>
      </c>
      <c r="U46" s="17">
        <f>S46-T46</f>
        <v>0.0033333333333338544</v>
      </c>
      <c r="V46" s="17" t="n">
        <v>0.008333333333333333</v>
      </c>
      <c r="W46" s="17">
        <f>S46*V46</f>
        <v>0.08125</v>
      </c>
      <c r="X46" s="17">
        <f>U46*V46</f>
        <v>2.777777777778212e-05</v>
      </c>
    </row>
    <row r="47">
      <c r="A47" s="15" t="inlineStr">
        <is>
          <t>3月</t>
        </is>
      </c>
      <c r="B47" s="15" t="inlineStr">
        <is>
          <t>一、会展客户</t>
        </is>
      </c>
      <c r="C47" s="15" t="inlineStr">
        <is>
          <t>参展商</t>
        </is>
      </c>
      <c r="D47" s="15" t="inlineStr">
        <is>
          <t>配套服务子项</t>
        </is>
      </c>
      <c r="E47" s="15" t="inlineStr">
        <is>
          <t>其中：餐饮服务</t>
        </is>
      </c>
      <c r="F47" s="15" t="inlineStr">
        <is>
          <t>餐饮服务</t>
        </is>
      </c>
      <c r="G47" s="17" t="n">
        <v>8.859999999999999</v>
      </c>
      <c r="H47" s="17" t="n">
        <v>0.125</v>
      </c>
      <c r="I47" s="17" t="n">
        <v>0.05882352941176471</v>
      </c>
      <c r="J47" s="17" t="n">
        <v>1</v>
      </c>
      <c r="K47" s="17" t="n">
        <v>0</v>
      </c>
      <c r="L47" s="17">
        <f>PRODUCT(H47:K47)</f>
        <v>0.0</v>
      </c>
      <c r="M47" s="17">
        <f>G47*L47</f>
        <v>0.0</v>
      </c>
      <c r="N47" s="17">
        <f>IF(K47=0,H47*I47,L47)</f>
        <v>0.007352941176470588</v>
      </c>
      <c r="O47" s="17">
        <f>G47*N47</f>
        <v>0.0651470588235294</v>
      </c>
      <c r="P47" s="15" t="n"/>
      <c r="Q47" s="15" t="inlineStr">
        <is>
          <t>5月</t>
        </is>
      </c>
      <c r="R47" s="15" t="inlineStr">
        <is>
          <t>会展服务商</t>
        </is>
      </c>
      <c r="S47" s="17" t="n">
        <v>10</v>
      </c>
      <c r="T47" s="17">
        <f>SUMIFS($M$2:$M$383,$A$2:$A$383,Q47,$C$2:$C$383,R47)/V47</f>
        <v>10.0</v>
      </c>
      <c r="U47" s="17">
        <f>S47-T47</f>
        <v>0.0</v>
      </c>
      <c r="V47" s="17" t="n">
        <v>0.008333333333333333</v>
      </c>
      <c r="W47" s="17">
        <f>S47*V47</f>
        <v>0.08333333333333333</v>
      </c>
      <c r="X47" s="17">
        <f>U47*V47</f>
        <v>0.0</v>
      </c>
    </row>
    <row r="48">
      <c r="A48" s="15" t="inlineStr">
        <is>
          <t>3月</t>
        </is>
      </c>
      <c r="B48" s="15" t="inlineStr">
        <is>
          <t>一、会展客户</t>
        </is>
      </c>
      <c r="C48" s="15" t="inlineStr">
        <is>
          <t>专业观众</t>
        </is>
      </c>
      <c r="D48" s="15" t="inlineStr">
        <is>
          <t>专业观众</t>
        </is>
      </c>
      <c r="E48" s="15" t="inlineStr">
        <is>
          <t>会展服务</t>
        </is>
      </c>
      <c r="F48" s="15" t="inlineStr">
        <is>
          <t>产品服务</t>
        </is>
      </c>
      <c r="G48" s="17" t="n">
        <v>9.960000000000001</v>
      </c>
      <c r="H48" s="17" t="n">
        <v>0.125</v>
      </c>
      <c r="I48" s="17" t="n">
        <v>0.05882352941176471</v>
      </c>
      <c r="J48" s="17" t="n">
        <v>1</v>
      </c>
      <c r="K48" s="17" t="n">
        <v>0.3333333333333333</v>
      </c>
      <c r="L48" s="17">
        <f>PRODUCT(H48:K48)</f>
        <v>0.0024509803921568627</v>
      </c>
      <c r="M48" s="17">
        <f>G48*L48</f>
        <v>0.024411764705882355</v>
      </c>
      <c r="N48" s="17">
        <f>IF(K48=0,H48*I48,L48)</f>
        <v>0.0024509803921568627</v>
      </c>
      <c r="O48" s="17">
        <f>G48*N48</f>
        <v>0.024411764705882355</v>
      </c>
      <c r="P48" s="15" t="n"/>
      <c r="Q48" s="15" t="inlineStr">
        <is>
          <t>5月</t>
        </is>
      </c>
      <c r="R48" s="15" t="inlineStr">
        <is>
          <t>会议活动主（承）办</t>
        </is>
      </c>
      <c r="S48" s="17" t="n">
        <v>9.710000000000001</v>
      </c>
      <c r="T48" s="17">
        <f>SUMIFS($M$2:$M$383,$A$2:$A$383,Q48,$C$2:$C$383,R48)/V48</f>
        <v>9.713333333333331</v>
      </c>
      <c r="U48" s="17">
        <f>S48-T48</f>
        <v>-0.0033333333333303017</v>
      </c>
      <c r="V48" s="17" t="n">
        <v>0.008333333333333333</v>
      </c>
      <c r="W48" s="17">
        <f>S48*V48</f>
        <v>0.08091666666666668</v>
      </c>
      <c r="X48" s="17">
        <f>U48*V48</f>
        <v>-2.7777777777752514e-05</v>
      </c>
    </row>
    <row r="49">
      <c r="A49" s="15" t="inlineStr">
        <is>
          <t>3月</t>
        </is>
      </c>
      <c r="B49" s="15" t="inlineStr">
        <is>
          <t>一、会展客户</t>
        </is>
      </c>
      <c r="C49" s="15" t="inlineStr">
        <is>
          <t>专业观众</t>
        </is>
      </c>
      <c r="D49" s="15" t="inlineStr">
        <is>
          <t>专业观众</t>
        </is>
      </c>
      <c r="E49" s="15" t="inlineStr">
        <is>
          <t>硬件设施</t>
        </is>
      </c>
      <c r="F49" s="15" t="inlineStr">
        <is>
          <t>硬件设施</t>
        </is>
      </c>
      <c r="G49" s="17" t="n">
        <v>9.19</v>
      </c>
      <c r="H49" s="17" t="n">
        <v>0.125</v>
      </c>
      <c r="I49" s="17" t="n">
        <v>0.05882352941176471</v>
      </c>
      <c r="J49" s="17" t="n">
        <v>1</v>
      </c>
      <c r="K49" s="17" t="n">
        <v>0.3333333333333333</v>
      </c>
      <c r="L49" s="17">
        <f>PRODUCT(H49:K49)</f>
        <v>0.0024509803921568627</v>
      </c>
      <c r="M49" s="17">
        <f>G49*L49</f>
        <v>0.022524509803921566</v>
      </c>
      <c r="N49" s="17">
        <f>IF(K49=0,H49*I49,L49)</f>
        <v>0.0024509803921568627</v>
      </c>
      <c r="O49" s="17">
        <f>G49*N49</f>
        <v>0.022524509803921566</v>
      </c>
      <c r="P49" s="15" t="n"/>
      <c r="Q49" s="15" t="inlineStr">
        <is>
          <t>5月</t>
        </is>
      </c>
      <c r="R49" s="15" t="inlineStr">
        <is>
          <t>参会客户</t>
        </is>
      </c>
      <c r="S49" s="17" t="n">
        <v>9.800000000000001</v>
      </c>
      <c r="T49" s="17">
        <f>SUMIFS($M$2:$M$383,$A$2:$A$383,Q49,$C$2:$C$383,R49)/V49</f>
        <v>9.799999999999999</v>
      </c>
      <c r="U49" s="17">
        <f>S49-T49</f>
        <v>1.7763568394002505e-15</v>
      </c>
      <c r="V49" s="17" t="n">
        <v>0.008333333333333333</v>
      </c>
      <c r="W49" s="17">
        <f>S49*V49</f>
        <v>0.08166666666666667</v>
      </c>
      <c r="X49" s="17">
        <f>U49*V49</f>
        <v>1.4802973661668754e-17</v>
      </c>
    </row>
    <row r="50">
      <c r="A50" s="15" t="inlineStr">
        <is>
          <t>3月</t>
        </is>
      </c>
      <c r="B50" s="15" t="inlineStr">
        <is>
          <t>一、会展客户</t>
        </is>
      </c>
      <c r="C50" s="15" t="inlineStr">
        <is>
          <t>专业观众</t>
        </is>
      </c>
      <c r="D50" s="15" t="inlineStr">
        <is>
          <t>专业观众</t>
        </is>
      </c>
      <c r="E50" s="15" t="inlineStr">
        <is>
          <t>配套服务</t>
        </is>
      </c>
      <c r="F50" s="15" t="inlineStr">
        <is>
          <t>配套服务</t>
        </is>
      </c>
      <c r="G50" s="17" t="n">
        <v>8.81</v>
      </c>
      <c r="H50" s="17" t="n">
        <v>0.125</v>
      </c>
      <c r="I50" s="17" t="n">
        <v>0.05882352941176471</v>
      </c>
      <c r="J50" s="17" t="n">
        <v>1</v>
      </c>
      <c r="K50" s="17" t="n">
        <v>0.3333333333333333</v>
      </c>
      <c r="L50" s="17">
        <f>PRODUCT(H50:K50)</f>
        <v>0.0024509803921568627</v>
      </c>
      <c r="M50" s="17">
        <f>G50*L50</f>
        <v>0.021593137254901962</v>
      </c>
      <c r="N50" s="17">
        <f>IF(K50=0,H50*I50,L50)</f>
        <v>0.0024509803921568627</v>
      </c>
      <c r="O50" s="17">
        <f>G50*N50</f>
        <v>0.021593137254901962</v>
      </c>
      <c r="P50" s="15" t="n"/>
      <c r="Q50" s="15" t="inlineStr">
        <is>
          <t>5月</t>
        </is>
      </c>
      <c r="R50" s="15" t="inlineStr">
        <is>
          <t>商务简餐</t>
        </is>
      </c>
      <c r="S50" s="17" t="n">
        <v>9.789999999999999</v>
      </c>
      <c r="T50" s="17">
        <f>SUMIFS($M$2:$M$383,$A$2:$A$383,Q50,$C$2:$C$383,R50)/V50</f>
        <v>9.785</v>
      </c>
      <c r="U50" s="17">
        <f>S50-T50</f>
        <v>0.004999999999999005</v>
      </c>
      <c r="V50" s="17" t="n">
        <v>0.008333333333333333</v>
      </c>
      <c r="W50" s="17">
        <f>S50*V50</f>
        <v>0.08158333333333333</v>
      </c>
      <c r="X50" s="17">
        <f>U50*V50</f>
        <v>4.166666666665838e-05</v>
      </c>
    </row>
    <row r="51">
      <c r="A51" s="15" t="inlineStr">
        <is>
          <t>3月</t>
        </is>
      </c>
      <c r="B51" s="15" t="inlineStr">
        <is>
          <t>一、会展客户</t>
        </is>
      </c>
      <c r="C51" s="15" t="inlineStr">
        <is>
          <t>专业观众</t>
        </is>
      </c>
      <c r="D51" s="15" t="inlineStr">
        <is>
          <t>配套服务子项</t>
        </is>
      </c>
      <c r="E51" s="15" t="inlineStr">
        <is>
          <t>其中：餐饮服务</t>
        </is>
      </c>
      <c r="F51" s="15" t="inlineStr">
        <is>
          <t>餐饮服务</t>
        </is>
      </c>
      <c r="G51" s="17" t="n">
        <v>8.289999999999999</v>
      </c>
      <c r="H51" s="17" t="n">
        <v>0.125</v>
      </c>
      <c r="I51" s="17" t="n">
        <v>0.05882352941176471</v>
      </c>
      <c r="J51" s="17" t="n">
        <v>1</v>
      </c>
      <c r="K51" s="17" t="n">
        <v>0</v>
      </c>
      <c r="L51" s="17">
        <f>PRODUCT(H51:K51)</f>
        <v>0.0</v>
      </c>
      <c r="M51" s="17">
        <f>G51*L51</f>
        <v>0.0</v>
      </c>
      <c r="N51" s="17">
        <f>IF(K51=0,H51*I51,L51)</f>
        <v>0.007352941176470588</v>
      </c>
      <c r="O51" s="17">
        <f>G51*N51</f>
        <v>0.06095588235294117</v>
      </c>
      <c r="P51" s="15" t="n"/>
      <c r="Q51" s="15" t="inlineStr">
        <is>
          <t>5月</t>
        </is>
      </c>
      <c r="R51" s="15" t="inlineStr">
        <is>
          <t>特色美食廊</t>
        </is>
      </c>
      <c r="S51" s="17" t="n">
        <v>9.550000000000001</v>
      </c>
      <c r="T51" s="17">
        <f>SUMIFS($M$2:$M$383,$A$2:$A$383,Q51,$C$2:$C$383,R51)/V51</f>
        <v>9.55</v>
      </c>
      <c r="U51" s="17">
        <f>S51-T51</f>
        <v>0.0</v>
      </c>
      <c r="V51" s="17" t="n">
        <v>0.008333333333333333</v>
      </c>
      <c r="W51" s="17">
        <f>S51*V51</f>
        <v>0.07958333333333334</v>
      </c>
      <c r="X51" s="17">
        <f>U51*V51</f>
        <v>0.0</v>
      </c>
    </row>
    <row r="52">
      <c r="A52" s="15" t="inlineStr">
        <is>
          <t>3月</t>
        </is>
      </c>
      <c r="B52" s="15" t="inlineStr">
        <is>
          <t>一、会展客户</t>
        </is>
      </c>
      <c r="C52" s="15" t="inlineStr">
        <is>
          <t>会展服务商</t>
        </is>
      </c>
      <c r="D52" s="15" t="inlineStr">
        <is>
          <t>会展服务商</t>
        </is>
      </c>
      <c r="E52" s="15" t="inlineStr">
        <is>
          <t>会展服务</t>
        </is>
      </c>
      <c r="F52" s="15" t="inlineStr">
        <is>
          <t>产品服务</t>
        </is>
      </c>
      <c r="G52" s="17" t="n">
        <v>9.93</v>
      </c>
      <c r="H52" s="17" t="n">
        <v>0.125</v>
      </c>
      <c r="I52" s="17" t="n">
        <v>0.05882352941176471</v>
      </c>
      <c r="J52" s="17" t="n">
        <v>1</v>
      </c>
      <c r="K52" s="17" t="n">
        <v>0.3333333333333333</v>
      </c>
      <c r="L52" s="17">
        <f>PRODUCT(H52:K52)</f>
        <v>0.0024509803921568627</v>
      </c>
      <c r="M52" s="17">
        <f>G52*L52</f>
        <v>0.024338235294117647</v>
      </c>
      <c r="N52" s="17">
        <f>IF(K52=0,H52*I52,L52)</f>
        <v>0.0024509803921568627</v>
      </c>
      <c r="O52" s="17">
        <f>G52*N52</f>
        <v>0.024338235294117647</v>
      </c>
      <c r="P52" s="15" t="n"/>
      <c r="Q52" s="15" t="inlineStr">
        <is>
          <t>5月</t>
        </is>
      </c>
      <c r="R52" s="15" t="inlineStr">
        <is>
          <t>婚宴</t>
        </is>
      </c>
      <c r="S52" s="17" t="n">
        <v>9.800000000000001</v>
      </c>
      <c r="T52" s="17">
        <f>SUMIFS($M$2:$M$383,$A$2:$A$383,Q52,$C$2:$C$383,R52)/V52</f>
        <v>9.795</v>
      </c>
      <c r="U52" s="17">
        <f>S52-T52</f>
        <v>0.005000000000000782</v>
      </c>
      <c r="V52" s="17" t="n">
        <v>0.008333333333333333</v>
      </c>
      <c r="W52" s="17">
        <f>S52*V52</f>
        <v>0.08166666666666667</v>
      </c>
      <c r="X52" s="17">
        <f>U52*V52</f>
        <v>4.166666666667318e-05</v>
      </c>
    </row>
    <row r="53">
      <c r="A53" s="15" t="inlineStr">
        <is>
          <t>3月</t>
        </is>
      </c>
      <c r="B53" s="15" t="inlineStr">
        <is>
          <t>一、会展客户</t>
        </is>
      </c>
      <c r="C53" s="15" t="inlineStr">
        <is>
          <t>会展服务商</t>
        </is>
      </c>
      <c r="D53" s="15" t="inlineStr">
        <is>
          <t>会展服务商</t>
        </is>
      </c>
      <c r="E53" s="15" t="inlineStr">
        <is>
          <t>硬件设施</t>
        </is>
      </c>
      <c r="F53" s="15" t="inlineStr">
        <is>
          <t>硬件设施</t>
        </is>
      </c>
      <c r="G53" s="17" t="n">
        <v>9.41</v>
      </c>
      <c r="H53" s="17" t="n">
        <v>0.125</v>
      </c>
      <c r="I53" s="17" t="n">
        <v>0.05882352941176471</v>
      </c>
      <c r="J53" s="17" t="n">
        <v>1</v>
      </c>
      <c r="K53" s="17" t="n">
        <v>0.3333333333333333</v>
      </c>
      <c r="L53" s="17">
        <f>PRODUCT(H53:K53)</f>
        <v>0.0024509803921568627</v>
      </c>
      <c r="M53" s="17">
        <f>G53*L53</f>
        <v>0.02306372549019608</v>
      </c>
      <c r="N53" s="17">
        <f>IF(K53=0,H53*I53,L53)</f>
        <v>0.0024509803921568627</v>
      </c>
      <c r="O53" s="17">
        <f>G53*N53</f>
        <v>0.02306372549019608</v>
      </c>
      <c r="P53" s="15" t="n"/>
      <c r="Q53" s="15" t="inlineStr">
        <is>
          <t>5月</t>
        </is>
      </c>
      <c r="R53" s="15" t="inlineStr">
        <is>
          <t>自助餐</t>
        </is>
      </c>
      <c r="S53" s="17" t="n">
        <v>10</v>
      </c>
      <c r="T53" s="17">
        <f>SUMIFS($M$2:$M$383,$A$2:$A$383,Q53,$C$2:$C$383,R53)/V53</f>
        <v>10.0</v>
      </c>
      <c r="U53" s="17">
        <f>S53-T53</f>
        <v>0.0</v>
      </c>
      <c r="V53" s="17" t="n">
        <v>0.008333333333333333</v>
      </c>
      <c r="W53" s="17">
        <f>S53*V53</f>
        <v>0.08333333333333333</v>
      </c>
      <c r="X53" s="17">
        <f>U53*V53</f>
        <v>0.0</v>
      </c>
    </row>
    <row r="54">
      <c r="A54" s="15" t="inlineStr">
        <is>
          <t>3月</t>
        </is>
      </c>
      <c r="B54" s="15" t="inlineStr">
        <is>
          <t>一、会展客户</t>
        </is>
      </c>
      <c r="C54" s="15" t="inlineStr">
        <is>
          <t>会展服务商</t>
        </is>
      </c>
      <c r="D54" s="15" t="inlineStr">
        <is>
          <t>会展服务商</t>
        </is>
      </c>
      <c r="E54" s="15" t="inlineStr">
        <is>
          <t>配套服务</t>
        </is>
      </c>
      <c r="F54" s="15" t="inlineStr">
        <is>
          <t>配套服务</t>
        </is>
      </c>
      <c r="G54" s="17" t="n">
        <v>9.710000000000001</v>
      </c>
      <c r="H54" s="17" t="n">
        <v>0.125</v>
      </c>
      <c r="I54" s="17" t="n">
        <v>0.05882352941176471</v>
      </c>
      <c r="J54" s="17" t="n">
        <v>1</v>
      </c>
      <c r="K54" s="17" t="n">
        <v>0.3333333333333333</v>
      </c>
      <c r="L54" s="17">
        <f>PRODUCT(H54:K54)</f>
        <v>0.0024509803921568627</v>
      </c>
      <c r="M54" s="17">
        <f>G54*L54</f>
        <v>0.023799019607843138</v>
      </c>
      <c r="N54" s="17">
        <f>IF(K54=0,H54*I54,L54)</f>
        <v>0.0024509803921568627</v>
      </c>
      <c r="O54" s="17">
        <f>G54*N54</f>
        <v>0.023799019607843138</v>
      </c>
      <c r="P54" s="15" t="n"/>
      <c r="Q54" s="15" t="inlineStr">
        <is>
          <t>5月</t>
        </is>
      </c>
      <c r="R54" s="15" t="inlineStr">
        <is>
          <t>宴会</t>
        </is>
      </c>
      <c r="S54" s="17" t="n">
        <v>9.48</v>
      </c>
      <c r="T54" s="17">
        <f>SUMIFS($M$2:$M$383,$A$2:$A$383,Q54,$C$2:$C$383,R54)/V54</f>
        <v>9.48</v>
      </c>
      <c r="U54" s="17">
        <f>S54-T54</f>
        <v>0.0</v>
      </c>
      <c r="V54" s="17" t="n">
        <v>0.008333333333333333</v>
      </c>
      <c r="W54" s="17">
        <f>S54*V54</f>
        <v>0.079</v>
      </c>
      <c r="X54" s="17">
        <f>U54*V54</f>
        <v>0.0</v>
      </c>
    </row>
    <row r="55">
      <c r="A55" s="15" t="inlineStr">
        <is>
          <t>3月</t>
        </is>
      </c>
      <c r="B55" s="15" t="inlineStr">
        <is>
          <t>一、会展客户</t>
        </is>
      </c>
      <c r="C55" s="15" t="inlineStr">
        <is>
          <t>会展服务商</t>
        </is>
      </c>
      <c r="D55" s="15" t="inlineStr">
        <is>
          <t>配套服务子项</t>
        </is>
      </c>
      <c r="E55" s="15" t="inlineStr">
        <is>
          <t>其中：餐饮服务</t>
        </is>
      </c>
      <c r="F55" s="15" t="inlineStr">
        <is>
          <t>餐饮服务</t>
        </is>
      </c>
      <c r="G55" s="17" t="n">
        <v>9.25</v>
      </c>
      <c r="H55" s="17" t="n">
        <v>0.125</v>
      </c>
      <c r="I55" s="17" t="n">
        <v>0.05882352941176471</v>
      </c>
      <c r="J55" s="17" t="n">
        <v>1</v>
      </c>
      <c r="K55" s="17" t="n">
        <v>0</v>
      </c>
      <c r="L55" s="17">
        <f>PRODUCT(H55:K55)</f>
        <v>0.0</v>
      </c>
      <c r="M55" s="17">
        <f>G55*L55</f>
        <v>0.0</v>
      </c>
      <c r="N55" s="17">
        <f>IF(K55=0,H55*I55,L55)</f>
        <v>0.007352941176470588</v>
      </c>
      <c r="O55" s="17">
        <f>G55*N55</f>
        <v>0.06801470588235294</v>
      </c>
      <c r="P55" s="15" t="n"/>
      <c r="Q55" s="15" t="inlineStr">
        <is>
          <t>5月</t>
        </is>
      </c>
      <c r="R55" s="15" t="inlineStr">
        <is>
          <t>游客</t>
        </is>
      </c>
      <c r="S55" s="17" t="n">
        <v>10</v>
      </c>
      <c r="T55" s="17">
        <f>SUMIFS($M$2:$M$383,$A$2:$A$383,Q55,$C$2:$C$383,R55)/V55</f>
        <v>10.0</v>
      </c>
      <c r="U55" s="17">
        <f>S55-T55</f>
        <v>0.0</v>
      </c>
      <c r="V55" s="17" t="n">
        <v>0.008333333333333333</v>
      </c>
      <c r="W55" s="17">
        <f>S55*V55</f>
        <v>0.08333333333333333</v>
      </c>
      <c r="X55" s="17">
        <f>U55*V55</f>
        <v>0.0</v>
      </c>
    </row>
    <row r="56">
      <c r="A56" s="15" t="inlineStr">
        <is>
          <t>3月</t>
        </is>
      </c>
      <c r="B56" s="15" t="inlineStr">
        <is>
          <t>一、会展客户</t>
        </is>
      </c>
      <c r="C56" s="15" t="inlineStr">
        <is>
          <t>会议活动主（承）办</t>
        </is>
      </c>
      <c r="D56" s="15" t="inlineStr">
        <is>
          <t>会议主承办</t>
        </is>
      </c>
      <c r="E56" s="15" t="inlineStr">
        <is>
          <t>会展服务</t>
        </is>
      </c>
      <c r="F56" s="15" t="inlineStr">
        <is>
          <t>产品服务</t>
        </is>
      </c>
      <c r="G56" s="17" t="n">
        <v>9.94</v>
      </c>
      <c r="H56" s="17" t="n">
        <v>0.125</v>
      </c>
      <c r="I56" s="17" t="n">
        <v>0.05882352941176471</v>
      </c>
      <c r="J56" s="17" t="n">
        <v>1</v>
      </c>
      <c r="K56" s="17" t="n">
        <v>0.3333333333333333</v>
      </c>
      <c r="L56" s="17">
        <f>PRODUCT(H56:K56)</f>
        <v>0.0024509803921568627</v>
      </c>
      <c r="M56" s="17">
        <f>G56*L56</f>
        <v>0.024362745098039214</v>
      </c>
      <c r="N56" s="17">
        <f>IF(K56=0,H56*I56,L56)</f>
        <v>0.0024509803921568627</v>
      </c>
      <c r="O56" s="17">
        <f>G56*N56</f>
        <v>0.024362745098039214</v>
      </c>
      <c r="P56" s="15" t="n"/>
      <c r="Q56" s="15" t="inlineStr">
        <is>
          <t>5月</t>
        </is>
      </c>
      <c r="R56" s="15" t="inlineStr">
        <is>
          <t>酒店住宿团队</t>
        </is>
      </c>
      <c r="S56" s="17" t="n">
        <v>9.98</v>
      </c>
      <c r="T56" s="17">
        <f>SUMIFS($M$2:$M$383,$A$2:$A$383,Q56,$C$2:$C$383,R56)/V56</f>
        <v>9.976666666666665</v>
      </c>
      <c r="U56" s="17">
        <f>S56-T56</f>
        <v>0.0033333333333356308</v>
      </c>
      <c r="V56" s="17" t="n">
        <v>0.008333333333333333</v>
      </c>
      <c r="W56" s="17">
        <f>S56*V56</f>
        <v>0.08316666666666667</v>
      </c>
      <c r="X56" s="17">
        <f>U56*V56</f>
        <v>2.7777777777796922e-05</v>
      </c>
    </row>
    <row r="57">
      <c r="A57" s="15" t="inlineStr">
        <is>
          <t>3月</t>
        </is>
      </c>
      <c r="B57" s="15" t="inlineStr">
        <is>
          <t>一、会展客户</t>
        </is>
      </c>
      <c r="C57" s="15" t="inlineStr">
        <is>
          <t>会议活动主（承）办</t>
        </is>
      </c>
      <c r="D57" s="15" t="inlineStr">
        <is>
          <t>会议主承办</t>
        </is>
      </c>
      <c r="E57" s="15" t="inlineStr">
        <is>
          <t>硬件设施</t>
        </is>
      </c>
      <c r="F57" s="15" t="inlineStr">
        <is>
          <t>硬件设施</t>
        </is>
      </c>
      <c r="G57" s="17" t="n">
        <v>9.130000000000001</v>
      </c>
      <c r="H57" s="17" t="n">
        <v>0.125</v>
      </c>
      <c r="I57" s="17" t="n">
        <v>0.05882352941176471</v>
      </c>
      <c r="J57" s="17" t="n">
        <v>1</v>
      </c>
      <c r="K57" s="17" t="n">
        <v>0.3333333333333333</v>
      </c>
      <c r="L57" s="17">
        <f>PRODUCT(H57:K57)</f>
        <v>0.0024509803921568627</v>
      </c>
      <c r="M57" s="17">
        <f>G57*L57</f>
        <v>0.02237745098039216</v>
      </c>
      <c r="N57" s="17">
        <f>IF(K57=0,H57*I57,L57)</f>
        <v>0.0024509803921568627</v>
      </c>
      <c r="O57" s="17">
        <f>G57*N57</f>
        <v>0.02237745098039216</v>
      </c>
      <c r="P57" s="15" t="n"/>
      <c r="Q57" s="15" t="inlineStr">
        <is>
          <t>5月</t>
        </is>
      </c>
      <c r="R57" s="15" t="inlineStr">
        <is>
          <t>酒店参会客户</t>
        </is>
      </c>
      <c r="S57" s="17" t="n">
        <v>9.880000000000001</v>
      </c>
      <c r="T57" s="17">
        <f>SUMIFS($M$2:$M$383,$A$2:$A$383,Q57,$C$2:$C$383,R57)/V57</f>
        <v>9.883333333333333</v>
      </c>
      <c r="U57" s="17">
        <f>S57-T57</f>
        <v>-0.003333333333332078</v>
      </c>
      <c r="V57" s="17" t="n">
        <v>0.008333333333333333</v>
      </c>
      <c r="W57" s="17">
        <f>S57*V57</f>
        <v>0.08233333333333334</v>
      </c>
      <c r="X57" s="17">
        <f>U57*V57</f>
        <v>-2.7777777777767317e-05</v>
      </c>
    </row>
    <row r="58">
      <c r="A58" s="15" t="inlineStr">
        <is>
          <t>3月</t>
        </is>
      </c>
      <c r="B58" s="15" t="inlineStr">
        <is>
          <t>一、会展客户</t>
        </is>
      </c>
      <c r="C58" s="15" t="inlineStr">
        <is>
          <t>会议活动主（承）办</t>
        </is>
      </c>
      <c r="D58" s="15" t="inlineStr">
        <is>
          <t>会议主承办</t>
        </is>
      </c>
      <c r="E58" s="15" t="inlineStr">
        <is>
          <t>配套服务</t>
        </is>
      </c>
      <c r="F58" s="15" t="inlineStr">
        <is>
          <t>配套服务</t>
        </is>
      </c>
      <c r="G58" s="17" t="n">
        <v>9.470000000000001</v>
      </c>
      <c r="H58" s="17" t="n">
        <v>0.125</v>
      </c>
      <c r="I58" s="17" t="n">
        <v>0.05882352941176471</v>
      </c>
      <c r="J58" s="17" t="n">
        <v>1</v>
      </c>
      <c r="K58" s="17" t="n">
        <v>0.3333333333333333</v>
      </c>
      <c r="L58" s="17">
        <f>PRODUCT(H58:K58)</f>
        <v>0.0024509803921568627</v>
      </c>
      <c r="M58" s="17">
        <f>G58*L58</f>
        <v>0.02321078431372549</v>
      </c>
      <c r="N58" s="17">
        <f>IF(K58=0,H58*I58,L58)</f>
        <v>0.0024509803921568627</v>
      </c>
      <c r="O58" s="17">
        <f>G58*N58</f>
        <v>0.02321078431372549</v>
      </c>
      <c r="P58" s="15" t="n"/>
      <c r="Q58" s="15" t="inlineStr">
        <is>
          <t>5月</t>
        </is>
      </c>
      <c r="R58" s="15" t="inlineStr">
        <is>
          <t>酒店餐饮客户</t>
        </is>
      </c>
      <c r="S58" s="17" t="n">
        <v>9.890000000000001</v>
      </c>
      <c r="T58" s="17">
        <f>SUMIFS($M$2:$M$383,$A$2:$A$383,Q58,$C$2:$C$383,R58)/V58</f>
        <v>9.8825</v>
      </c>
      <c r="U58" s="17">
        <f>S58-T58</f>
        <v>0.007500000000000284</v>
      </c>
      <c r="V58" s="17" t="n">
        <v>0.008333333333333333</v>
      </c>
      <c r="W58" s="17">
        <f>S58*V58</f>
        <v>0.08241666666666667</v>
      </c>
      <c r="X58" s="17">
        <f>U58*V58</f>
        <v>6.250000000000237e-05</v>
      </c>
    </row>
    <row r="59">
      <c r="A59" s="15" t="inlineStr">
        <is>
          <t>3月</t>
        </is>
      </c>
      <c r="B59" s="15" t="inlineStr">
        <is>
          <t>一、会展客户</t>
        </is>
      </c>
      <c r="C59" s="15" t="inlineStr">
        <is>
          <t>会议活动主（承）办</t>
        </is>
      </c>
      <c r="D59" s="15" t="inlineStr">
        <is>
          <t>配套服务子项</t>
        </is>
      </c>
      <c r="E59" s="15" t="inlineStr">
        <is>
          <t>其中：餐饮服务</t>
        </is>
      </c>
      <c r="F59" s="15" t="inlineStr">
        <is>
          <t>餐饮服务</t>
        </is>
      </c>
      <c r="G59" s="17" t="n">
        <v>8.75</v>
      </c>
      <c r="H59" s="17" t="n">
        <v>0.125</v>
      </c>
      <c r="I59" s="17" t="n">
        <v>0.05882352941176471</v>
      </c>
      <c r="J59" s="17" t="n">
        <v>1</v>
      </c>
      <c r="K59" s="17" t="n">
        <v>0</v>
      </c>
      <c r="L59" s="17">
        <f>PRODUCT(H59:K59)</f>
        <v>0.0</v>
      </c>
      <c r="M59" s="17">
        <f>G59*L59</f>
        <v>0.0</v>
      </c>
      <c r="N59" s="17">
        <f>IF(K59=0,H59*I59,L59)</f>
        <v>0.007352941176470588</v>
      </c>
      <c r="O59" s="17">
        <f>G59*N59</f>
        <v>0.06433823529411764</v>
      </c>
      <c r="P59" s="15" t="n"/>
      <c r="Q59" s="15" t="inlineStr">
        <is>
          <t>6月</t>
        </is>
      </c>
      <c r="R59" s="15" t="inlineStr">
        <is>
          <t>展览活动主（承）办</t>
        </is>
      </c>
      <c r="S59" s="17" t="n">
        <v>9.630000000000001</v>
      </c>
      <c r="T59" s="17">
        <f>SUMIFS($M$2:$M$383,$A$2:$A$383,Q59,$C$2:$C$383,R59)/V59</f>
        <v>9.625</v>
      </c>
      <c r="U59" s="17">
        <f>S59-T59</f>
        <v>0.005000000000000782</v>
      </c>
      <c r="V59" s="17" t="n">
        <v>0.007352941176470588</v>
      </c>
      <c r="W59" s="17">
        <f>S59*V59</f>
        <v>0.07080882352941177</v>
      </c>
      <c r="X59" s="17">
        <f>U59*V59</f>
        <v>3.676470588235869e-05</v>
      </c>
    </row>
    <row r="60">
      <c r="A60" s="15" t="inlineStr">
        <is>
          <t>3月</t>
        </is>
      </c>
      <c r="B60" s="15" t="inlineStr">
        <is>
          <t>一、会展客户</t>
        </is>
      </c>
      <c r="C60" s="15" t="inlineStr">
        <is>
          <t>参会客户</t>
        </is>
      </c>
      <c r="D60" s="15" t="inlineStr">
        <is>
          <t>参会人员</t>
        </is>
      </c>
      <c r="E60" s="15" t="inlineStr">
        <is>
          <t>会展服务</t>
        </is>
      </c>
      <c r="F60" s="15" t="inlineStr">
        <is>
          <t>产品服务</t>
        </is>
      </c>
      <c r="G60" s="17" t="n">
        <v>9.970000000000001</v>
      </c>
      <c r="H60" s="17" t="n">
        <v>0.125</v>
      </c>
      <c r="I60" s="17" t="n">
        <v>0.05882352941176471</v>
      </c>
      <c r="J60" s="17" t="n">
        <v>1</v>
      </c>
      <c r="K60" s="17" t="n">
        <v>0.3333333333333333</v>
      </c>
      <c r="L60" s="17">
        <f>PRODUCT(H60:K60)</f>
        <v>0.0024509803921568627</v>
      </c>
      <c r="M60" s="17">
        <f>G60*L60</f>
        <v>0.024436274509803922</v>
      </c>
      <c r="N60" s="17">
        <f>IF(K60=0,H60*I60,L60)</f>
        <v>0.0024509803921568627</v>
      </c>
      <c r="O60" s="17">
        <f>G60*N60</f>
        <v>0.024436274509803922</v>
      </c>
      <c r="P60" s="15" t="n"/>
      <c r="Q60" s="15" t="inlineStr">
        <is>
          <t>6月</t>
        </is>
      </c>
      <c r="R60" s="15" t="inlineStr">
        <is>
          <t>参展商</t>
        </is>
      </c>
      <c r="S60" s="17" t="n">
        <v>9.52</v>
      </c>
      <c r="T60" s="17">
        <f>SUMIFS($M$2:$M$383,$A$2:$A$383,Q60,$C$2:$C$383,R60)/V60</f>
        <v>9.523333333333333</v>
      </c>
      <c r="U60" s="17">
        <f>S60-T60</f>
        <v>-0.0033333333333338544</v>
      </c>
      <c r="V60" s="17" t="n">
        <v>0.007352941176470588</v>
      </c>
      <c r="W60" s="17">
        <f>S60*V60</f>
        <v>0.06999999999999999</v>
      </c>
      <c r="X60" s="17">
        <f>U60*V60</f>
        <v>-2.450980392157246e-05</v>
      </c>
    </row>
    <row r="61">
      <c r="A61" s="15" t="inlineStr">
        <is>
          <t>3月</t>
        </is>
      </c>
      <c r="B61" s="15" t="inlineStr">
        <is>
          <t>一、会展客户</t>
        </is>
      </c>
      <c r="C61" s="15" t="inlineStr">
        <is>
          <t>参会客户</t>
        </is>
      </c>
      <c r="D61" s="15" t="inlineStr">
        <is>
          <t>参会人员</t>
        </is>
      </c>
      <c r="E61" s="15" t="inlineStr">
        <is>
          <t>硬件设施</t>
        </is>
      </c>
      <c r="F61" s="15" t="inlineStr">
        <is>
          <t>硬件设施</t>
        </is>
      </c>
      <c r="G61" s="17" t="n">
        <v>9.529999999999999</v>
      </c>
      <c r="H61" s="17" t="n">
        <v>0.125</v>
      </c>
      <c r="I61" s="17" t="n">
        <v>0.05882352941176471</v>
      </c>
      <c r="J61" s="17" t="n">
        <v>1</v>
      </c>
      <c r="K61" s="17" t="n">
        <v>0.3333333333333333</v>
      </c>
      <c r="L61" s="17">
        <f>PRODUCT(H61:K61)</f>
        <v>0.0024509803921568627</v>
      </c>
      <c r="M61" s="17">
        <f>G61*L61</f>
        <v>0.0233578431372549</v>
      </c>
      <c r="N61" s="17">
        <f>IF(K61=0,H61*I61,L61)</f>
        <v>0.0024509803921568627</v>
      </c>
      <c r="O61" s="17">
        <f>G61*N61</f>
        <v>0.0233578431372549</v>
      </c>
      <c r="P61" s="15" t="n"/>
      <c r="Q61" s="15" t="inlineStr">
        <is>
          <t>6月</t>
        </is>
      </c>
      <c r="R61" s="15" t="inlineStr">
        <is>
          <t>专业观众</t>
        </is>
      </c>
      <c r="S61" s="17" t="n">
        <v>9.720000000000001</v>
      </c>
      <c r="T61" s="17">
        <f>SUMIFS($M$2:$M$383,$A$2:$A$383,Q61,$C$2:$C$383,R61)/V61</f>
        <v>9.716666666666667</v>
      </c>
      <c r="U61" s="17">
        <f>S61-T61</f>
        <v>0.0033333333333338544</v>
      </c>
      <c r="V61" s="17" t="n">
        <v>0.007352941176470588</v>
      </c>
      <c r="W61" s="17">
        <f>S61*V61</f>
        <v>0.07147058823529412</v>
      </c>
      <c r="X61" s="17">
        <f>U61*V61</f>
        <v>2.450980392157246e-05</v>
      </c>
    </row>
    <row r="62">
      <c r="A62" s="15" t="inlineStr">
        <is>
          <t>3月</t>
        </is>
      </c>
      <c r="B62" s="15" t="inlineStr">
        <is>
          <t>一、会展客户</t>
        </is>
      </c>
      <c r="C62" s="15" t="inlineStr">
        <is>
          <t>参会客户</t>
        </is>
      </c>
      <c r="D62" s="15" t="inlineStr">
        <is>
          <t>参会人员</t>
        </is>
      </c>
      <c r="E62" s="15" t="inlineStr">
        <is>
          <t>配套服务</t>
        </is>
      </c>
      <c r="F62" s="15" t="inlineStr">
        <is>
          <t>配套服务</t>
        </is>
      </c>
      <c r="G62" s="17" t="n">
        <v>9.66</v>
      </c>
      <c r="H62" s="17" t="n">
        <v>0.125</v>
      </c>
      <c r="I62" s="17" t="n">
        <v>0.05882352941176471</v>
      </c>
      <c r="J62" s="17" t="n">
        <v>1</v>
      </c>
      <c r="K62" s="17" t="n">
        <v>0.3333333333333333</v>
      </c>
      <c r="L62" s="17">
        <f>PRODUCT(H62:K62)</f>
        <v>0.0024509803921568627</v>
      </c>
      <c r="M62" s="17">
        <f>G62*L62</f>
        <v>0.023676470588235295</v>
      </c>
      <c r="N62" s="17">
        <f>IF(K62=0,H62*I62,L62)</f>
        <v>0.0024509803921568627</v>
      </c>
      <c r="O62" s="17">
        <f>G62*N62</f>
        <v>0.023676470588235295</v>
      </c>
      <c r="P62" s="15" t="n"/>
      <c r="Q62" s="15" t="inlineStr">
        <is>
          <t>6月</t>
        </is>
      </c>
      <c r="R62" s="15" t="inlineStr">
        <is>
          <t>会展服务商</t>
        </is>
      </c>
      <c r="S62" s="17" t="n">
        <v>10</v>
      </c>
      <c r="T62" s="17">
        <f>SUMIFS($M$2:$M$383,$A$2:$A$383,Q62,$C$2:$C$383,R62)/V62</f>
        <v>10.0</v>
      </c>
      <c r="U62" s="17">
        <f>S62-T62</f>
        <v>0.0</v>
      </c>
      <c r="V62" s="17" t="n">
        <v>0.007352941176470588</v>
      </c>
      <c r="W62" s="17">
        <f>S62*V62</f>
        <v>0.07352941176470588</v>
      </c>
      <c r="X62" s="17">
        <f>U62*V62</f>
        <v>0.0</v>
      </c>
    </row>
    <row r="63">
      <c r="A63" s="15" t="inlineStr">
        <is>
          <t>3月</t>
        </is>
      </c>
      <c r="B63" s="15" t="inlineStr">
        <is>
          <t>一、会展客户</t>
        </is>
      </c>
      <c r="C63" s="15" t="inlineStr">
        <is>
          <t>参会客户</t>
        </is>
      </c>
      <c r="D63" s="15" t="inlineStr">
        <is>
          <t>配套服务子项</t>
        </is>
      </c>
      <c r="E63" s="15" t="inlineStr">
        <is>
          <t>其中：餐饮服务</t>
        </is>
      </c>
      <c r="F63" s="15" t="inlineStr">
        <is>
          <t>餐饮服务</t>
        </is>
      </c>
      <c r="G63" s="17" t="n">
        <v>8.970000000000001</v>
      </c>
      <c r="H63" s="17" t="n">
        <v>0.125</v>
      </c>
      <c r="I63" s="17" t="n">
        <v>0.05882352941176471</v>
      </c>
      <c r="J63" s="17" t="n">
        <v>1</v>
      </c>
      <c r="K63" s="17" t="n">
        <v>0</v>
      </c>
      <c r="L63" s="17">
        <f>PRODUCT(H63:K63)</f>
        <v>0.0</v>
      </c>
      <c r="M63" s="17">
        <f>G63*L63</f>
        <v>0.0</v>
      </c>
      <c r="N63" s="17">
        <f>IF(K63=0,H63*I63,L63)</f>
        <v>0.007352941176470588</v>
      </c>
      <c r="O63" s="17">
        <f>G63*N63</f>
        <v>0.06595588235294118</v>
      </c>
      <c r="P63" s="15" t="n"/>
      <c r="Q63" s="15" t="inlineStr">
        <is>
          <t>6月</t>
        </is>
      </c>
      <c r="R63" s="15" t="inlineStr">
        <is>
          <t>会议活动主（承）办</t>
        </is>
      </c>
      <c r="S63" s="17" t="n">
        <v>9.83</v>
      </c>
      <c r="T63" s="17">
        <f>SUMIFS($M$2:$M$383,$A$2:$A$383,Q63,$C$2:$C$383,R63)/V63</f>
        <v>9.826666666666666</v>
      </c>
      <c r="U63" s="17">
        <f>S63-T63</f>
        <v>0.0033333333333338544</v>
      </c>
      <c r="V63" s="17" t="n">
        <v>0.007352941176470588</v>
      </c>
      <c r="W63" s="17">
        <f>S63*V63</f>
        <v>0.07227941176470588</v>
      </c>
      <c r="X63" s="17">
        <f>U63*V63</f>
        <v>2.450980392157246e-05</v>
      </c>
    </row>
    <row r="64">
      <c r="A64" s="15" t="inlineStr">
        <is>
          <t>3月</t>
        </is>
      </c>
      <c r="B64" s="15" t="inlineStr">
        <is>
          <t>二、餐饮客户</t>
        </is>
      </c>
      <c r="C64" s="15" t="inlineStr">
        <is>
          <t>商务简餐</t>
        </is>
      </c>
      <c r="D64" s="15" t="inlineStr">
        <is>
          <t>商务简餐</t>
        </is>
      </c>
      <c r="E64" s="15" t="inlineStr">
        <is>
          <t>餐饮服务</t>
        </is>
      </c>
      <c r="F64" s="15" t="inlineStr">
        <is>
          <t>餐饮服务</t>
        </is>
      </c>
      <c r="G64" s="17" t="n">
        <v>9.869999999999999</v>
      </c>
      <c r="H64" s="17" t="n">
        <v>0.125</v>
      </c>
      <c r="I64" s="17" t="n">
        <v>0.05882352941176471</v>
      </c>
      <c r="J64" s="17" t="n">
        <v>1</v>
      </c>
      <c r="K64" s="17" t="n">
        <v>0.5</v>
      </c>
      <c r="L64" s="17">
        <f>PRODUCT(H64:K64)</f>
        <v>0.003676470588235294</v>
      </c>
      <c r="M64" s="17">
        <f>G64*L64</f>
        <v>0.03628676470588235</v>
      </c>
      <c r="N64" s="17">
        <f>IF(K64=0,H64*I64,L64)</f>
        <v>0.003676470588235294</v>
      </c>
      <c r="O64" s="17">
        <f>G64*N64</f>
        <v>0.03628676470588235</v>
      </c>
      <c r="P64" s="15" t="n"/>
      <c r="Q64" s="15" t="inlineStr">
        <is>
          <t>6月</t>
        </is>
      </c>
      <c r="R64" s="15" t="inlineStr">
        <is>
          <t>参会客户</t>
        </is>
      </c>
      <c r="S64" s="17" t="n">
        <v>9.84</v>
      </c>
      <c r="T64" s="17">
        <f>SUMIFS($M$2:$M$383,$A$2:$A$383,Q64,$C$2:$C$383,R64)/V64</f>
        <v>9.836666666666666</v>
      </c>
      <c r="U64" s="17">
        <f>S64-T64</f>
        <v>0.0033333333333338544</v>
      </c>
      <c r="V64" s="17" t="n">
        <v>0.007352941176470588</v>
      </c>
      <c r="W64" s="17">
        <f>S64*V64</f>
        <v>0.07235294117647059</v>
      </c>
      <c r="X64" s="17">
        <f>U64*V64</f>
        <v>2.450980392157246e-05</v>
      </c>
    </row>
    <row r="65">
      <c r="A65" s="15" t="inlineStr">
        <is>
          <t>3月</t>
        </is>
      </c>
      <c r="B65" s="15" t="inlineStr">
        <is>
          <t>二、餐饮客户</t>
        </is>
      </c>
      <c r="C65" s="15" t="inlineStr">
        <is>
          <t>商务简餐</t>
        </is>
      </c>
      <c r="D65" s="15" t="inlineStr">
        <is>
          <t>商务简餐</t>
        </is>
      </c>
      <c r="E65" s="15" t="inlineStr">
        <is>
          <t>硬件设施</t>
        </is>
      </c>
      <c r="F65" s="15" t="inlineStr">
        <is>
          <t>硬件设施</t>
        </is>
      </c>
      <c r="G65" s="17" t="n">
        <v>9.08</v>
      </c>
      <c r="H65" s="17" t="n">
        <v>0.125</v>
      </c>
      <c r="I65" s="17" t="n">
        <v>0.05882352941176471</v>
      </c>
      <c r="J65" s="17" t="n">
        <v>1</v>
      </c>
      <c r="K65" s="17" t="n">
        <v>0.5</v>
      </c>
      <c r="L65" s="17">
        <f>PRODUCT(H65:K65)</f>
        <v>0.003676470588235294</v>
      </c>
      <c r="M65" s="17">
        <f>G65*L65</f>
        <v>0.03338235294117647</v>
      </c>
      <c r="N65" s="17">
        <f>IF(K65=0,H65*I65,L65)</f>
        <v>0.003676470588235294</v>
      </c>
      <c r="O65" s="17">
        <f>G65*N65</f>
        <v>0.03338235294117647</v>
      </c>
      <c r="P65" s="15" t="n"/>
      <c r="Q65" s="15" t="inlineStr">
        <is>
          <t>6月</t>
        </is>
      </c>
      <c r="R65" s="15" t="inlineStr">
        <is>
          <t>商务简餐</t>
        </is>
      </c>
      <c r="S65" s="17" t="n">
        <v>9.779999999999999</v>
      </c>
      <c r="T65" s="17">
        <f>SUMIFS($M$2:$M$383,$A$2:$A$383,Q65,$C$2:$C$383,R65)/V65</f>
        <v>9.780000000000001</v>
      </c>
      <c r="U65" s="17">
        <f>S65-T65</f>
        <v>-1.7763568394002505e-15</v>
      </c>
      <c r="V65" s="17" t="n">
        <v>0.007352941176470588</v>
      </c>
      <c r="W65" s="17">
        <f>S65*V65</f>
        <v>0.07191176470588234</v>
      </c>
      <c r="X65" s="17">
        <f>U65*V65</f>
        <v>-1.3061447348531253e-17</v>
      </c>
    </row>
    <row r="66">
      <c r="A66" s="15" t="inlineStr">
        <is>
          <t>3月</t>
        </is>
      </c>
      <c r="B66" s="15" t="inlineStr">
        <is>
          <t>二、餐饮客户</t>
        </is>
      </c>
      <c r="C66" s="15" t="inlineStr">
        <is>
          <t>特色美食廊</t>
        </is>
      </c>
      <c r="D66" s="15" t="inlineStr">
        <is>
          <t>特色美食廊</t>
        </is>
      </c>
      <c r="E66" s="15" t="inlineStr">
        <is>
          <t>餐饮服务</t>
        </is>
      </c>
      <c r="F66" s="15" t="inlineStr">
        <is>
          <t>餐饮服务</t>
        </is>
      </c>
      <c r="G66" s="17" t="n">
        <v>9.24</v>
      </c>
      <c r="H66" s="17" t="n">
        <v>0.125</v>
      </c>
      <c r="I66" s="17" t="n">
        <v>0.05882352941176471</v>
      </c>
      <c r="J66" s="17" t="n">
        <v>1</v>
      </c>
      <c r="K66" s="17" t="n">
        <v>0.5</v>
      </c>
      <c r="L66" s="17">
        <f>PRODUCT(H66:K66)</f>
        <v>0.003676470588235294</v>
      </c>
      <c r="M66" s="17">
        <f>G66*L66</f>
        <v>0.03397058823529412</v>
      </c>
      <c r="N66" s="17">
        <f>IF(K66=0,H66*I66,L66)</f>
        <v>0.003676470588235294</v>
      </c>
      <c r="O66" s="17">
        <f>G66*N66</f>
        <v>0.03397058823529412</v>
      </c>
      <c r="P66" s="15" t="n"/>
      <c r="Q66" s="15" t="inlineStr">
        <is>
          <t>6月</t>
        </is>
      </c>
      <c r="R66" s="15" t="inlineStr">
        <is>
          <t>特色美食廊</t>
        </is>
      </c>
      <c r="S66" s="17" t="n">
        <v>9.51</v>
      </c>
      <c r="T66" s="17">
        <f>SUMIFS($M$2:$M$383,$A$2:$A$383,Q66,$C$2:$C$383,R66)/V66</f>
        <v>9.510000000000002</v>
      </c>
      <c r="U66" s="17">
        <f>S66-T66</f>
        <v>-1.7763568394002505e-15</v>
      </c>
      <c r="V66" s="17" t="n">
        <v>0.007352941176470588</v>
      </c>
      <c r="W66" s="17">
        <f>S66*V66</f>
        <v>0.0699264705882353</v>
      </c>
      <c r="X66" s="17">
        <f>U66*V66</f>
        <v>-1.3061447348531253e-17</v>
      </c>
    </row>
    <row r="67">
      <c r="A67" s="15" t="inlineStr">
        <is>
          <t>3月</t>
        </is>
      </c>
      <c r="B67" s="15" t="inlineStr">
        <is>
          <t>二、餐饮客户</t>
        </is>
      </c>
      <c r="C67" s="15" t="inlineStr">
        <is>
          <t>特色美食廊</t>
        </is>
      </c>
      <c r="D67" s="15" t="inlineStr">
        <is>
          <t>特色美食廊</t>
        </is>
      </c>
      <c r="E67" s="15" t="inlineStr">
        <is>
          <t>硬件设施</t>
        </is>
      </c>
      <c r="F67" s="15" t="inlineStr">
        <is>
          <t>硬件设施</t>
        </is>
      </c>
      <c r="G67" s="17" t="n">
        <v>8.949999999999999</v>
      </c>
      <c r="H67" s="17" t="n">
        <v>0.125</v>
      </c>
      <c r="I67" s="17" t="n">
        <v>0.05882352941176471</v>
      </c>
      <c r="J67" s="17" t="n">
        <v>1</v>
      </c>
      <c r="K67" s="17" t="n">
        <v>0.5</v>
      </c>
      <c r="L67" s="17">
        <f>PRODUCT(H67:K67)</f>
        <v>0.003676470588235294</v>
      </c>
      <c r="M67" s="17">
        <f>G67*L67</f>
        <v>0.032904411764705876</v>
      </c>
      <c r="N67" s="17">
        <f>IF(K67=0,H67*I67,L67)</f>
        <v>0.003676470588235294</v>
      </c>
      <c r="O67" s="17">
        <f>G67*N67</f>
        <v>0.032904411764705876</v>
      </c>
      <c r="P67" s="15" t="n"/>
      <c r="Q67" s="15" t="inlineStr">
        <is>
          <t>6月</t>
        </is>
      </c>
      <c r="R67" s="15" t="inlineStr">
        <is>
          <t>婚宴</t>
        </is>
      </c>
      <c r="S67" s="17" t="n">
        <v>9.460000000000001</v>
      </c>
      <c r="T67" s="17">
        <f>SUMIFS($M$2:$M$383,$A$2:$A$383,Q67,$C$2:$C$383,R67)/V67</f>
        <v>9.459999999999999</v>
      </c>
      <c r="U67" s="17">
        <f>S67-T67</f>
        <v>1.7763568394002505e-15</v>
      </c>
      <c r="V67" s="17" t="n">
        <v>0.007352941176470588</v>
      </c>
      <c r="W67" s="17">
        <f>S67*V67</f>
        <v>0.06955882352941177</v>
      </c>
      <c r="X67" s="17">
        <f>U67*V67</f>
        <v>1.3061447348531253e-17</v>
      </c>
    </row>
    <row r="68">
      <c r="A68" s="15" t="inlineStr">
        <is>
          <t>3月</t>
        </is>
      </c>
      <c r="B68" s="15" t="inlineStr">
        <is>
          <t>二、餐饮客户</t>
        </is>
      </c>
      <c r="C68" s="15" t="inlineStr">
        <is>
          <t>婚宴</t>
        </is>
      </c>
      <c r="D68" s="15" t="inlineStr">
        <is>
          <t>婚宴</t>
        </is>
      </c>
      <c r="E68" s="15" t="inlineStr">
        <is>
          <t>餐饮服务</t>
        </is>
      </c>
      <c r="F68" s="15" t="inlineStr">
        <is>
          <t>餐饮服务</t>
        </is>
      </c>
      <c r="G68" s="17" t="n">
        <v>9.380000000000001</v>
      </c>
      <c r="H68" s="17" t="n">
        <v>0.125</v>
      </c>
      <c r="I68" s="17" t="n">
        <v>0.05882352941176471</v>
      </c>
      <c r="J68" s="17" t="n">
        <v>1</v>
      </c>
      <c r="K68" s="17" t="n">
        <v>0.5</v>
      </c>
      <c r="L68" s="17">
        <f>PRODUCT(H68:K68)</f>
        <v>0.003676470588235294</v>
      </c>
      <c r="M68" s="17">
        <f>G68*L68</f>
        <v>0.03448529411764706</v>
      </c>
      <c r="N68" s="17">
        <f>IF(K68=0,H68*I68,L68)</f>
        <v>0.003676470588235294</v>
      </c>
      <c r="O68" s="17">
        <f>G68*N68</f>
        <v>0.03448529411764706</v>
      </c>
      <c r="P68" s="15" t="n"/>
      <c r="Q68" s="15" t="inlineStr">
        <is>
          <t>6月</t>
        </is>
      </c>
      <c r="R68" s="15" t="inlineStr">
        <is>
          <t>自助餐</t>
        </is>
      </c>
      <c r="S68" s="17" t="n">
        <v>9.609999999999999</v>
      </c>
      <c r="T68" s="17">
        <f>SUMIFS($M$2:$M$383,$A$2:$A$383,Q68,$C$2:$C$383,R68)/V68</f>
        <v>9.605</v>
      </c>
      <c r="U68" s="17">
        <f>S68-T68</f>
        <v>0.004999999999999005</v>
      </c>
      <c r="V68" s="17" t="n">
        <v>0.007352941176470588</v>
      </c>
      <c r="W68" s="17">
        <f>S68*V68</f>
        <v>0.07066176470588235</v>
      </c>
      <c r="X68" s="17">
        <f>U68*V68</f>
        <v>3.6764705882345626e-05</v>
      </c>
    </row>
    <row r="69">
      <c r="A69" s="15" t="inlineStr">
        <is>
          <t>3月</t>
        </is>
      </c>
      <c r="B69" s="15" t="inlineStr">
        <is>
          <t>二、餐饮客户</t>
        </is>
      </c>
      <c r="C69" s="15" t="inlineStr">
        <is>
          <t>婚宴</t>
        </is>
      </c>
      <c r="D69" s="15" t="inlineStr">
        <is>
          <t>婚宴</t>
        </is>
      </c>
      <c r="E69" s="15" t="inlineStr">
        <is>
          <t>硬件设施</t>
        </is>
      </c>
      <c r="F69" s="15" t="inlineStr">
        <is>
          <t>硬件设施</t>
        </is>
      </c>
      <c r="G69" s="17" t="n">
        <v>8.94</v>
      </c>
      <c r="H69" s="17" t="n">
        <v>0.125</v>
      </c>
      <c r="I69" s="17" t="n">
        <v>0.05882352941176471</v>
      </c>
      <c r="J69" s="17" t="n">
        <v>1</v>
      </c>
      <c r="K69" s="17" t="n">
        <v>0.5</v>
      </c>
      <c r="L69" s="17">
        <f>PRODUCT(H69:K69)</f>
        <v>0.003676470588235294</v>
      </c>
      <c r="M69" s="17">
        <f>G69*L69</f>
        <v>0.03286764705882353</v>
      </c>
      <c r="N69" s="17">
        <f>IF(K69=0,H69*I69,L69)</f>
        <v>0.003676470588235294</v>
      </c>
      <c r="O69" s="17">
        <f>G69*N69</f>
        <v>0.03286764705882353</v>
      </c>
      <c r="P69" s="15" t="n"/>
      <c r="Q69" s="15" t="inlineStr">
        <is>
          <t>6月</t>
        </is>
      </c>
      <c r="R69" s="15" t="inlineStr">
        <is>
          <t>游客</t>
        </is>
      </c>
      <c r="S69" s="17" t="n">
        <v>9.869999999999999</v>
      </c>
      <c r="T69" s="17">
        <f>SUMIFS($M$2:$M$383,$A$2:$A$383,Q69,$C$2:$C$383,R69)/V69</f>
        <v>9.87</v>
      </c>
      <c r="U69" s="17">
        <f>S69-T69</f>
        <v>0.0</v>
      </c>
      <c r="V69" s="17" t="n">
        <v>0.007352941176470588</v>
      </c>
      <c r="W69" s="17">
        <f>S69*V69</f>
        <v>0.0725735294117647</v>
      </c>
      <c r="X69" s="17">
        <f>U69*V69</f>
        <v>0.0</v>
      </c>
    </row>
    <row r="70">
      <c r="A70" s="15" t="inlineStr">
        <is>
          <t>3月</t>
        </is>
      </c>
      <c r="B70" s="15" t="inlineStr">
        <is>
          <t>二、餐饮客户</t>
        </is>
      </c>
      <c r="C70" s="15" t="inlineStr">
        <is>
          <t>自助餐</t>
        </is>
      </c>
      <c r="D70" s="15" t="inlineStr">
        <is>
          <t>自助餐</t>
        </is>
      </c>
      <c r="E70" s="15" t="inlineStr">
        <is>
          <t>餐饮服务</t>
        </is>
      </c>
      <c r="F70" s="15" t="inlineStr">
        <is>
          <t>餐饮服务</t>
        </is>
      </c>
      <c r="G70" s="17" t="n">
        <v>9.880000000000001</v>
      </c>
      <c r="H70" s="17" t="n">
        <v>0.125</v>
      </c>
      <c r="I70" s="17" t="n">
        <v>0.05882352941176471</v>
      </c>
      <c r="J70" s="17" t="n">
        <v>1</v>
      </c>
      <c r="K70" s="17" t="n">
        <v>0.5</v>
      </c>
      <c r="L70" s="17">
        <f>PRODUCT(H70:K70)</f>
        <v>0.003676470588235294</v>
      </c>
      <c r="M70" s="17">
        <f>G70*L70</f>
        <v>0.036323529411764706</v>
      </c>
      <c r="N70" s="17">
        <f>IF(K70=0,H70*I70,L70)</f>
        <v>0.003676470588235294</v>
      </c>
      <c r="O70" s="17">
        <f>G70*N70</f>
        <v>0.036323529411764706</v>
      </c>
      <c r="P70" s="15" t="n"/>
      <c r="Q70" s="15" t="inlineStr">
        <is>
          <t>6月</t>
        </is>
      </c>
      <c r="R70" s="15" t="inlineStr">
        <is>
          <t>旅行社工作人员</t>
        </is>
      </c>
      <c r="S70" s="17" t="n">
        <v>10</v>
      </c>
      <c r="T70" s="17">
        <f>SUMIFS($M$2:$M$383,$A$2:$A$383,Q70,$C$2:$C$383,R70)/V70</f>
        <v>10.0</v>
      </c>
      <c r="U70" s="17">
        <f>S70-T70</f>
        <v>0.0</v>
      </c>
      <c r="V70" s="17" t="n">
        <v>0.007352941176470588</v>
      </c>
      <c r="W70" s="17">
        <f>S70*V70</f>
        <v>0.07352941176470588</v>
      </c>
      <c r="X70" s="17">
        <f>U70*V70</f>
        <v>0.0</v>
      </c>
    </row>
    <row r="71">
      <c r="A71" s="15" t="inlineStr">
        <is>
          <t>3月</t>
        </is>
      </c>
      <c r="B71" s="15" t="inlineStr">
        <is>
          <t>二、餐饮客户</t>
        </is>
      </c>
      <c r="C71" s="15" t="inlineStr">
        <is>
          <t>自助餐</t>
        </is>
      </c>
      <c r="D71" s="15" t="inlineStr">
        <is>
          <t>自助餐</t>
        </is>
      </c>
      <c r="E71" s="15" t="inlineStr">
        <is>
          <t>硬件设施</t>
        </is>
      </c>
      <c r="F71" s="15" t="inlineStr">
        <is>
          <t>硬件设施</t>
        </is>
      </c>
      <c r="G71" s="17" t="n">
        <v>9.039999999999999</v>
      </c>
      <c r="H71" s="17" t="n">
        <v>0.125</v>
      </c>
      <c r="I71" s="17" t="n">
        <v>0.05882352941176471</v>
      </c>
      <c r="J71" s="17" t="n">
        <v>1</v>
      </c>
      <c r="K71" s="17" t="n">
        <v>0.5</v>
      </c>
      <c r="L71" s="17">
        <f>PRODUCT(H71:K71)</f>
        <v>0.003676470588235294</v>
      </c>
      <c r="M71" s="17">
        <f>G71*L71</f>
        <v>0.03323529411764706</v>
      </c>
      <c r="N71" s="17">
        <f>IF(K71=0,H71*I71,L71)</f>
        <v>0.003676470588235294</v>
      </c>
      <c r="O71" s="17">
        <f>G71*N71</f>
        <v>0.03323529411764706</v>
      </c>
      <c r="P71" s="15" t="n"/>
      <c r="Q71" s="15" t="inlineStr">
        <is>
          <t>6月</t>
        </is>
      </c>
      <c r="R71" s="15" t="inlineStr">
        <is>
          <t>酒店散客</t>
        </is>
      </c>
      <c r="S71" s="17" t="n">
        <v>9.880000000000001</v>
      </c>
      <c r="T71" s="17">
        <f>SUMIFS($M$2:$M$383,$A$2:$A$383,Q71,$C$2:$C$383,R71)/V71</f>
        <v>9.876666666666669</v>
      </c>
      <c r="U71" s="17">
        <f>S71-T71</f>
        <v>0.003333333333332078</v>
      </c>
      <c r="V71" s="17" t="n">
        <v>0.007352941176470588</v>
      </c>
      <c r="W71" s="17">
        <f>S71*V71</f>
        <v>0.07264705882352941</v>
      </c>
      <c r="X71" s="17">
        <f>U71*V71</f>
        <v>2.4509803921559397e-05</v>
      </c>
    </row>
    <row r="72">
      <c r="A72" s="15" t="inlineStr">
        <is>
          <t>3月</t>
        </is>
      </c>
      <c r="B72" s="15" t="inlineStr">
        <is>
          <t>二、餐饮客户</t>
        </is>
      </c>
      <c r="C72" s="15" t="inlineStr">
        <is>
          <t>宴会</t>
        </is>
      </c>
      <c r="D72" s="15" t="inlineStr">
        <is>
          <t>宴会</t>
        </is>
      </c>
      <c r="E72" s="15" t="inlineStr">
        <is>
          <t>餐饮服务</t>
        </is>
      </c>
      <c r="F72" s="15" t="inlineStr">
        <is>
          <t>餐饮服务</t>
        </is>
      </c>
      <c r="G72" s="17" t="n">
        <v>9.9</v>
      </c>
      <c r="H72" s="17" t="n">
        <v>0.125</v>
      </c>
      <c r="I72" s="17" t="n">
        <v>0.05882352941176471</v>
      </c>
      <c r="J72" s="17" t="n">
        <v>1</v>
      </c>
      <c r="K72" s="17" t="n">
        <v>0.5</v>
      </c>
      <c r="L72" s="17">
        <f>PRODUCT(H72:K72)</f>
        <v>0.003676470588235294</v>
      </c>
      <c r="M72" s="17">
        <f>G72*L72</f>
        <v>0.036397058823529414</v>
      </c>
      <c r="N72" s="17">
        <f>IF(K72=0,H72*I72,L72)</f>
        <v>0.003676470588235294</v>
      </c>
      <c r="O72" s="17">
        <f>G72*N72</f>
        <v>0.036397058823529414</v>
      </c>
      <c r="P72" s="15" t="n"/>
      <c r="Q72" s="15" t="inlineStr">
        <is>
          <t>6月</t>
        </is>
      </c>
      <c r="R72" s="15" t="inlineStr">
        <is>
          <t>酒店住宿团队</t>
        </is>
      </c>
      <c r="S72" s="17" t="n">
        <v>9.93</v>
      </c>
      <c r="T72" s="17">
        <f>SUMIFS($M$2:$M$383,$A$2:$A$383,Q72,$C$2:$C$383,R72)/V72</f>
        <v>9.933333333333334</v>
      </c>
      <c r="U72" s="17">
        <f>S72-T72</f>
        <v>-0.0033333333333338544</v>
      </c>
      <c r="V72" s="17" t="n">
        <v>0.007352941176470588</v>
      </c>
      <c r="W72" s="17">
        <f>S72*V72</f>
        <v>0.07301470588235294</v>
      </c>
      <c r="X72" s="17">
        <f>U72*V72</f>
        <v>-2.450980392157246e-05</v>
      </c>
    </row>
    <row r="73">
      <c r="A73" s="15" t="inlineStr">
        <is>
          <t>3月</t>
        </is>
      </c>
      <c r="B73" s="15" t="inlineStr">
        <is>
          <t>二、餐饮客户</t>
        </is>
      </c>
      <c r="C73" s="15" t="inlineStr">
        <is>
          <t>宴会</t>
        </is>
      </c>
      <c r="D73" s="15" t="inlineStr">
        <is>
          <t>宴会</t>
        </is>
      </c>
      <c r="E73" s="15" t="inlineStr">
        <is>
          <t>硬件设施</t>
        </is>
      </c>
      <c r="F73" s="15" t="inlineStr">
        <is>
          <t>硬件设施</t>
        </is>
      </c>
      <c r="G73" s="17" t="n">
        <v>9.35</v>
      </c>
      <c r="H73" s="17" t="n">
        <v>0.125</v>
      </c>
      <c r="I73" s="17" t="n">
        <v>0.05882352941176471</v>
      </c>
      <c r="J73" s="17" t="n">
        <v>1</v>
      </c>
      <c r="K73" s="17" t="n">
        <v>0.5</v>
      </c>
      <c r="L73" s="17">
        <f>PRODUCT(H73:K73)</f>
        <v>0.003676470588235294</v>
      </c>
      <c r="M73" s="17">
        <f>G73*L73</f>
        <v>0.034374999999999996</v>
      </c>
      <c r="N73" s="17">
        <f>IF(K73=0,H73*I73,L73)</f>
        <v>0.003676470588235294</v>
      </c>
      <c r="O73" s="17">
        <f>G73*N73</f>
        <v>0.034374999999999996</v>
      </c>
      <c r="P73" s="15" t="n"/>
      <c r="Q73" s="15" t="inlineStr">
        <is>
          <t>6月</t>
        </is>
      </c>
      <c r="R73" s="15" t="inlineStr">
        <is>
          <t>酒店参会客户</t>
        </is>
      </c>
      <c r="S73" s="17" t="n">
        <v>9.720000000000001</v>
      </c>
      <c r="T73" s="17">
        <f>SUMIFS($M$2:$M$383,$A$2:$A$383,Q73,$C$2:$C$383,R73)/V73</f>
        <v>9.715000000000002</v>
      </c>
      <c r="U73" s="17">
        <f>S73-T73</f>
        <v>0.004999999999999005</v>
      </c>
      <c r="V73" s="17" t="n">
        <v>0.007352941176470588</v>
      </c>
      <c r="W73" s="17">
        <f>S73*V73</f>
        <v>0.07147058823529412</v>
      </c>
      <c r="X73" s="17">
        <f>U73*V73</f>
        <v>3.6764705882345626e-05</v>
      </c>
    </row>
    <row r="74">
      <c r="A74" s="15" t="inlineStr">
        <is>
          <t>3月</t>
        </is>
      </c>
      <c r="B74" s="15" t="inlineStr">
        <is>
          <t>三、G20峰会体验馆</t>
        </is>
      </c>
      <c r="C74" s="15" t="inlineStr">
        <is>
          <t>游客</t>
        </is>
      </c>
      <c r="D74" s="15" t="inlineStr">
        <is>
          <t>游客</t>
        </is>
      </c>
      <c r="E74" s="15" t="inlineStr">
        <is>
          <t>旅游服务</t>
        </is>
      </c>
      <c r="F74" s="15" t="inlineStr">
        <is>
          <t>产品服务</t>
        </is>
      </c>
      <c r="G74" s="17" t="n">
        <v>9.92</v>
      </c>
      <c r="H74" s="17" t="n">
        <v>0.125</v>
      </c>
      <c r="I74" s="17" t="n">
        <v>0.05882352941176471</v>
      </c>
      <c r="J74" s="17" t="n">
        <v>1</v>
      </c>
      <c r="K74" s="17" t="n">
        <v>0.5</v>
      </c>
      <c r="L74" s="17">
        <f>PRODUCT(H74:K74)</f>
        <v>0.003676470588235294</v>
      </c>
      <c r="M74" s="17">
        <f>G74*L74</f>
        <v>0.036470588235294116</v>
      </c>
      <c r="N74" s="17">
        <f>IF(K74=0,H74*I74,L74)</f>
        <v>0.003676470588235294</v>
      </c>
      <c r="O74" s="17">
        <f>G74*N74</f>
        <v>0.036470588235294116</v>
      </c>
      <c r="P74" s="15" t="n"/>
      <c r="Q74" s="15" t="inlineStr">
        <is>
          <t>6月</t>
        </is>
      </c>
      <c r="R74" s="15" t="inlineStr">
        <is>
          <t>酒店会议主（承）办</t>
        </is>
      </c>
      <c r="S74" s="17" t="n">
        <v>9.539999999999999</v>
      </c>
      <c r="T74" s="17">
        <f>SUMIFS($M$2:$M$383,$A$2:$A$383,Q74,$C$2:$C$383,R74)/V74</f>
        <v>9.54</v>
      </c>
      <c r="U74" s="17">
        <f>S74-T74</f>
        <v>0.0</v>
      </c>
      <c r="V74" s="17" t="n">
        <v>0.007352941176470588</v>
      </c>
      <c r="W74" s="17">
        <f>S74*V74</f>
        <v>0.07014705882352941</v>
      </c>
      <c r="X74" s="17">
        <f>U74*V74</f>
        <v>0.0</v>
      </c>
    </row>
    <row r="75">
      <c r="A75" s="15" t="inlineStr">
        <is>
          <t>3月</t>
        </is>
      </c>
      <c r="B75" s="15" t="inlineStr">
        <is>
          <t>三、G20峰会体验馆</t>
        </is>
      </c>
      <c r="C75" s="15" t="inlineStr">
        <is>
          <t>游客</t>
        </is>
      </c>
      <c r="D75" s="15" t="inlineStr">
        <is>
          <t>游客</t>
        </is>
      </c>
      <c r="E75" s="15" t="inlineStr">
        <is>
          <t>硬件设施</t>
        </is>
      </c>
      <c r="F75" s="15" t="inlineStr">
        <is>
          <t>硬件设施</t>
        </is>
      </c>
      <c r="G75" s="17" t="n">
        <v>9.699999999999999</v>
      </c>
      <c r="H75" s="17" t="n">
        <v>0.125</v>
      </c>
      <c r="I75" s="17" t="n">
        <v>0.05882352941176471</v>
      </c>
      <c r="J75" s="17" t="n">
        <v>1</v>
      </c>
      <c r="K75" s="17" t="n">
        <v>0.5</v>
      </c>
      <c r="L75" s="17">
        <f>PRODUCT(H75:K75)</f>
        <v>0.003676470588235294</v>
      </c>
      <c r="M75" s="17">
        <f>G75*L75</f>
        <v>0.03566176470588235</v>
      </c>
      <c r="N75" s="17">
        <f>IF(K75=0,H75*I75,L75)</f>
        <v>0.003676470588235294</v>
      </c>
      <c r="O75" s="17">
        <f>G75*N75</f>
        <v>0.03566176470588235</v>
      </c>
      <c r="P75" s="15" t="n"/>
      <c r="Q75" s="15" t="inlineStr">
        <is>
          <t>6月</t>
        </is>
      </c>
      <c r="R75" s="15" t="inlineStr">
        <is>
          <t>酒店餐饮客户</t>
        </is>
      </c>
      <c r="S75" s="17" t="n">
        <v>9.82</v>
      </c>
      <c r="T75" s="17">
        <f>SUMIFS($M$2:$M$383,$A$2:$A$383,Q75,$C$2:$C$383,R75)/V75</f>
        <v>9.8125</v>
      </c>
      <c r="U75" s="17">
        <f>S75-T75</f>
        <v>0.007500000000000284</v>
      </c>
      <c r="V75" s="17" t="n">
        <v>0.007352941176470588</v>
      </c>
      <c r="W75" s="17">
        <f>S75*V75</f>
        <v>0.07220588235294118</v>
      </c>
      <c r="X75" s="17">
        <f>U75*V75</f>
        <v>5.51470588235315e-05</v>
      </c>
    </row>
    <row r="76">
      <c r="A76" s="15" t="inlineStr">
        <is>
          <t>3月</t>
        </is>
      </c>
      <c r="B76" s="15" t="inlineStr">
        <is>
          <t>三、G20峰会体验馆</t>
        </is>
      </c>
      <c r="C76" s="15" t="inlineStr">
        <is>
          <t>旅行社工作人员</t>
        </is>
      </c>
      <c r="D76" s="15" t="inlineStr">
        <is>
          <t>旅行社工作人员</t>
        </is>
      </c>
      <c r="E76" s="15" t="inlineStr">
        <is>
          <t>旅游服务</t>
        </is>
      </c>
      <c r="F76" s="15" t="inlineStr">
        <is>
          <t>产品服务</t>
        </is>
      </c>
      <c r="G76" s="17" t="n">
        <v>10</v>
      </c>
      <c r="H76" s="17" t="n">
        <v>0.125</v>
      </c>
      <c r="I76" s="17" t="n">
        <v>0.05882352941176471</v>
      </c>
      <c r="J76" s="17" t="n">
        <v>1</v>
      </c>
      <c r="K76" s="17" t="n">
        <v>0.5</v>
      </c>
      <c r="L76" s="17">
        <f>PRODUCT(H76:K76)</f>
        <v>0.003676470588235294</v>
      </c>
      <c r="M76" s="17">
        <f>G76*L76</f>
        <v>0.03676470588235294</v>
      </c>
      <c r="N76" s="17">
        <f>IF(K76=0,H76*I76,L76)</f>
        <v>0.003676470588235294</v>
      </c>
      <c r="O76" s="17">
        <f>G76*N76</f>
        <v>0.03676470588235294</v>
      </c>
      <c r="P76" s="15" t="n"/>
      <c r="Q76" s="15" t="inlineStr">
        <is>
          <t>7月</t>
        </is>
      </c>
      <c r="R76" s="15" t="inlineStr">
        <is>
          <t>展览活动主（承）办</t>
        </is>
      </c>
      <c r="S76" s="17" t="n">
        <v>9.9</v>
      </c>
      <c r="T76" s="17">
        <f>SUMIFS($M$2:$M$383,$A$2:$A$383,Q76,$C$2:$C$383,R76)/V76</f>
        <v>9.902499999999998</v>
      </c>
      <c r="U76" s="17">
        <f>S76-T76</f>
        <v>-0.0024999999999977263</v>
      </c>
      <c r="V76" s="17" t="n">
        <v>0.008333333333333333</v>
      </c>
      <c r="W76" s="17">
        <f>S76*V76</f>
        <v>0.0825</v>
      </c>
      <c r="X76" s="17">
        <f>U76*V76</f>
        <v>-2.0833333333314386e-05</v>
      </c>
    </row>
    <row r="77">
      <c r="A77" s="15" t="inlineStr">
        <is>
          <t>3月</t>
        </is>
      </c>
      <c r="B77" s="15" t="inlineStr">
        <is>
          <t>三、G20峰会体验馆</t>
        </is>
      </c>
      <c r="C77" s="15" t="inlineStr">
        <is>
          <t>旅行社工作人员</t>
        </is>
      </c>
      <c r="D77" s="15" t="inlineStr">
        <is>
          <t>旅行社工作人员</t>
        </is>
      </c>
      <c r="E77" s="15" t="inlineStr">
        <is>
          <t>硬件设施</t>
        </is>
      </c>
      <c r="F77" s="15" t="inlineStr">
        <is>
          <t>硬件设施</t>
        </is>
      </c>
      <c r="G77" s="17" t="n">
        <v>10</v>
      </c>
      <c r="H77" s="17" t="n">
        <v>0.125</v>
      </c>
      <c r="I77" s="17" t="n">
        <v>0.05882352941176471</v>
      </c>
      <c r="J77" s="17" t="n">
        <v>1</v>
      </c>
      <c r="K77" s="17" t="n">
        <v>0.5</v>
      </c>
      <c r="L77" s="17">
        <f>PRODUCT(H77:K77)</f>
        <v>0.003676470588235294</v>
      </c>
      <c r="M77" s="17">
        <f>G77*L77</f>
        <v>0.03676470588235294</v>
      </c>
      <c r="N77" s="17">
        <f>IF(K77=0,H77*I77,L77)</f>
        <v>0.003676470588235294</v>
      </c>
      <c r="O77" s="17">
        <f>G77*N77</f>
        <v>0.03676470588235294</v>
      </c>
      <c r="P77" s="15" t="n"/>
      <c r="Q77" s="15" t="inlineStr">
        <is>
          <t>7月</t>
        </is>
      </c>
      <c r="R77" s="15" t="inlineStr">
        <is>
          <t>参展商</t>
        </is>
      </c>
      <c r="S77" s="17" t="n">
        <v>9.73</v>
      </c>
      <c r="T77" s="17">
        <f>SUMIFS($M$2:$M$383,$A$2:$A$383,Q77,$C$2:$C$383,R77)/V77</f>
        <v>9.726666666666667</v>
      </c>
      <c r="U77" s="17">
        <f>S77-T77</f>
        <v>0.0033333333333338544</v>
      </c>
      <c r="V77" s="17" t="n">
        <v>0.008333333333333333</v>
      </c>
      <c r="W77" s="17">
        <f>S77*V77</f>
        <v>0.08108333333333334</v>
      </c>
      <c r="X77" s="17">
        <f>U77*V77</f>
        <v>2.777777777778212e-05</v>
      </c>
    </row>
    <row r="78">
      <c r="A78" s="15" t="inlineStr">
        <is>
          <t>3月</t>
        </is>
      </c>
      <c r="B78" s="15" t="inlineStr">
        <is>
          <t>五、酒店客户</t>
        </is>
      </c>
      <c r="C78" s="15" t="inlineStr">
        <is>
          <t>酒店散客</t>
        </is>
      </c>
      <c r="D78" s="15" t="inlineStr">
        <is>
          <t>散客</t>
        </is>
      </c>
      <c r="E78" s="15" t="inlineStr">
        <is>
          <t>硬件设施</t>
        </is>
      </c>
      <c r="F78" s="15" t="inlineStr">
        <is>
          <t>硬件设施</t>
        </is>
      </c>
      <c r="G78" s="17" t="n">
        <v>9.19</v>
      </c>
      <c r="H78" s="17" t="n">
        <v>0.125</v>
      </c>
      <c r="I78" s="17" t="n">
        <v>0.05882352941176471</v>
      </c>
      <c r="J78" s="17" t="n">
        <v>1</v>
      </c>
      <c r="K78" s="17" t="n">
        <v>0.5</v>
      </c>
      <c r="L78" s="17">
        <f>PRODUCT(H78:K78)</f>
        <v>0.003676470588235294</v>
      </c>
      <c r="M78" s="17">
        <f>G78*L78</f>
        <v>0.03378676470588235</v>
      </c>
      <c r="N78" s="17">
        <f>IF(K78=0,H78*I78,L78)</f>
        <v>0.003676470588235294</v>
      </c>
      <c r="O78" s="17">
        <f>G78*N78</f>
        <v>0.03378676470588235</v>
      </c>
      <c r="P78" s="15" t="n"/>
      <c r="Q78" s="15" t="inlineStr">
        <is>
          <t>7月</t>
        </is>
      </c>
      <c r="R78" s="15" t="inlineStr">
        <is>
          <t>专业观众</t>
        </is>
      </c>
      <c r="S78" s="17" t="n">
        <v>9.83</v>
      </c>
      <c r="T78" s="17">
        <f>SUMIFS($M$2:$M$383,$A$2:$A$383,Q78,$C$2:$C$383,R78)/V78</f>
        <v>9.833333333333332</v>
      </c>
      <c r="U78" s="17">
        <f>S78-T78</f>
        <v>-0.003333333333332078</v>
      </c>
      <c r="V78" s="17" t="n">
        <v>0.008333333333333333</v>
      </c>
      <c r="W78" s="17">
        <f>S78*V78</f>
        <v>0.08191666666666667</v>
      </c>
      <c r="X78" s="17">
        <f>U78*V78</f>
        <v>-2.7777777777767317e-05</v>
      </c>
    </row>
    <row r="79">
      <c r="A79" s="15" t="inlineStr">
        <is>
          <t>3月</t>
        </is>
      </c>
      <c r="B79" s="15" t="inlineStr">
        <is>
          <t>五、酒店客户</t>
        </is>
      </c>
      <c r="C79" s="15" t="inlineStr">
        <is>
          <t>酒店散客</t>
        </is>
      </c>
      <c r="D79" s="15" t="inlineStr">
        <is>
          <t>散客</t>
        </is>
      </c>
      <c r="E79" s="15" t="inlineStr">
        <is>
          <t>入住服务</t>
        </is>
      </c>
      <c r="F79" s="15" t="inlineStr">
        <is>
          <t>产品服务</t>
        </is>
      </c>
      <c r="G79" s="17" t="n">
        <v>10</v>
      </c>
      <c r="H79" s="17" t="n">
        <v>0.125</v>
      </c>
      <c r="I79" s="17" t="n">
        <v>0.05882352941176471</v>
      </c>
      <c r="J79" s="17" t="n">
        <v>1</v>
      </c>
      <c r="K79" s="17" t="n">
        <v>0.5</v>
      </c>
      <c r="L79" s="17">
        <f>PRODUCT(H79:K79)</f>
        <v>0.003676470588235294</v>
      </c>
      <c r="M79" s="17">
        <f>G79*L79</f>
        <v>0.03676470588235294</v>
      </c>
      <c r="N79" s="17">
        <f>IF(K79=0,H79*I79,L79)</f>
        <v>0.003676470588235294</v>
      </c>
      <c r="O79" s="17">
        <f>G79*N79</f>
        <v>0.03676470588235294</v>
      </c>
      <c r="P79" s="15" t="n"/>
      <c r="Q79" s="15" t="inlineStr">
        <is>
          <t>7月</t>
        </is>
      </c>
      <c r="R79" s="15" t="inlineStr">
        <is>
          <t>会展服务商</t>
        </is>
      </c>
      <c r="S79" s="17" t="n">
        <v>9.94</v>
      </c>
      <c r="T79" s="17">
        <f>SUMIFS($M$2:$M$383,$A$2:$A$383,Q79,$C$2:$C$383,R79)/V79</f>
        <v>9.936666666666666</v>
      </c>
      <c r="U79" s="17">
        <f>S79-T79</f>
        <v>0.0033333333333338544</v>
      </c>
      <c r="V79" s="17" t="n">
        <v>0.008333333333333333</v>
      </c>
      <c r="W79" s="17">
        <f>S79*V79</f>
        <v>0.08283333333333333</v>
      </c>
      <c r="X79" s="17">
        <f>U79*V79</f>
        <v>2.777777777778212e-05</v>
      </c>
    </row>
    <row r="80">
      <c r="A80" s="15" t="inlineStr">
        <is>
          <t>3月</t>
        </is>
      </c>
      <c r="B80" s="15" t="inlineStr">
        <is>
          <t>五、酒店客户</t>
        </is>
      </c>
      <c r="C80" s="15" t="inlineStr">
        <is>
          <t>酒店住宿团队</t>
        </is>
      </c>
      <c r="D80" s="15" t="inlineStr">
        <is>
          <t>住宿团队</t>
        </is>
      </c>
      <c r="E80" s="15" t="inlineStr">
        <is>
          <t>硬件设施</t>
        </is>
      </c>
      <c r="F80" s="15" t="inlineStr">
        <is>
          <t>硬件设施</t>
        </is>
      </c>
      <c r="G80" s="17" t="n">
        <v>9.65</v>
      </c>
      <c r="H80" s="17" t="n">
        <v>0.125</v>
      </c>
      <c r="I80" s="17" t="n">
        <v>0.05882352941176471</v>
      </c>
      <c r="J80" s="17" t="n">
        <v>1</v>
      </c>
      <c r="K80" s="17" t="n">
        <v>0.3333333333333333</v>
      </c>
      <c r="L80" s="17">
        <f>PRODUCT(H80:K80)</f>
        <v>0.0024509803921568627</v>
      </c>
      <c r="M80" s="17">
        <f>G80*L80</f>
        <v>0.023651960784313725</v>
      </c>
      <c r="N80" s="17">
        <f>IF(K80=0,H80*I80,L80)</f>
        <v>0.0024509803921568627</v>
      </c>
      <c r="O80" s="17">
        <f>G80*N80</f>
        <v>0.023651960784313725</v>
      </c>
      <c r="P80" s="15" t="n"/>
      <c r="Q80" s="15" t="inlineStr">
        <is>
          <t>7月</t>
        </is>
      </c>
      <c r="R80" s="15" t="inlineStr">
        <is>
          <t>会议活动主（承）办</t>
        </is>
      </c>
      <c r="S80" s="17" t="n">
        <v>9.92</v>
      </c>
      <c r="T80" s="17">
        <f>SUMIFS($M$2:$M$383,$A$2:$A$383,Q80,$C$2:$C$383,R80)/V80</f>
        <v>9.92</v>
      </c>
      <c r="U80" s="17">
        <f>S80-T80</f>
        <v>0.0</v>
      </c>
      <c r="V80" s="17" t="n">
        <v>0.008333333333333333</v>
      </c>
      <c r="W80" s="17">
        <f>S80*V80</f>
        <v>0.08266666666666667</v>
      </c>
      <c r="X80" s="17">
        <f>U80*V80</f>
        <v>0.0</v>
      </c>
    </row>
    <row r="81">
      <c r="A81" s="15" t="inlineStr">
        <is>
          <t>3月</t>
        </is>
      </c>
      <c r="B81" s="15" t="inlineStr">
        <is>
          <t>五、酒店客户</t>
        </is>
      </c>
      <c r="C81" s="15" t="inlineStr">
        <is>
          <t>酒店住宿团队</t>
        </is>
      </c>
      <c r="D81" s="15" t="inlineStr">
        <is>
          <t>住宿团队</t>
        </is>
      </c>
      <c r="E81" s="15" t="inlineStr">
        <is>
          <t>入住服务</t>
        </is>
      </c>
      <c r="F81" s="15" t="inlineStr">
        <is>
          <t>产品服务</t>
        </is>
      </c>
      <c r="G81" s="17" t="n">
        <v>10</v>
      </c>
      <c r="H81" s="17" t="n">
        <v>0.125</v>
      </c>
      <c r="I81" s="17" t="n">
        <v>0.05882352941176471</v>
      </c>
      <c r="J81" s="17" t="n">
        <v>1</v>
      </c>
      <c r="K81" s="17" t="n">
        <v>0.3333333333333333</v>
      </c>
      <c r="L81" s="17">
        <f>PRODUCT(H81:K81)</f>
        <v>0.0024509803921568627</v>
      </c>
      <c r="M81" s="17">
        <f>G81*L81</f>
        <v>0.024509803921568627</v>
      </c>
      <c r="N81" s="17">
        <f>IF(K81=0,H81*I81,L81)</f>
        <v>0.0024509803921568627</v>
      </c>
      <c r="O81" s="17">
        <f>G81*N81</f>
        <v>0.024509803921568627</v>
      </c>
      <c r="P81" s="15" t="n"/>
      <c r="Q81" s="15" t="inlineStr">
        <is>
          <t>7月</t>
        </is>
      </c>
      <c r="R81" s="15" t="inlineStr">
        <is>
          <t>参会客户</t>
        </is>
      </c>
      <c r="S81" s="17" t="n">
        <v>9.83</v>
      </c>
      <c r="T81" s="17">
        <f>SUMIFS($M$2:$M$383,$A$2:$A$383,Q81,$C$2:$C$383,R81)/V81</f>
        <v>9.83</v>
      </c>
      <c r="U81" s="17">
        <f>S81-T81</f>
        <v>0.0</v>
      </c>
      <c r="V81" s="17" t="n">
        <v>0.008333333333333333</v>
      </c>
      <c r="W81" s="17">
        <f>S81*V81</f>
        <v>0.08191666666666667</v>
      </c>
      <c r="X81" s="17">
        <f>U81*V81</f>
        <v>0.0</v>
      </c>
    </row>
    <row r="82">
      <c r="A82" s="15" t="inlineStr">
        <is>
          <t>3月</t>
        </is>
      </c>
      <c r="B82" s="15" t="inlineStr">
        <is>
          <t>五、酒店客户</t>
        </is>
      </c>
      <c r="C82" s="15" t="inlineStr">
        <is>
          <t>酒店住宿团队</t>
        </is>
      </c>
      <c r="D82" s="15" t="inlineStr">
        <is>
          <t>住宿团队</t>
        </is>
      </c>
      <c r="E82" s="15" t="inlineStr">
        <is>
          <t>餐饮服务</t>
        </is>
      </c>
      <c r="F82" s="15" t="inlineStr">
        <is>
          <t>餐饮服务</t>
        </is>
      </c>
      <c r="G82" s="17" t="n">
        <v>10</v>
      </c>
      <c r="H82" s="17" t="n">
        <v>0.125</v>
      </c>
      <c r="I82" s="17" t="n">
        <v>0.05882352941176471</v>
      </c>
      <c r="J82" s="17" t="n">
        <v>1</v>
      </c>
      <c r="K82" s="17" t="n">
        <v>0.3333333333333333</v>
      </c>
      <c r="L82" s="17">
        <f>PRODUCT(H82:K82)</f>
        <v>0.0024509803921568627</v>
      </c>
      <c r="M82" s="17">
        <f>G82*L82</f>
        <v>0.024509803921568627</v>
      </c>
      <c r="N82" s="17">
        <f>IF(K82=0,H82*I82,L82)</f>
        <v>0.0024509803921568627</v>
      </c>
      <c r="O82" s="17">
        <f>G82*N82</f>
        <v>0.024509803921568627</v>
      </c>
      <c r="P82" s="15" t="n"/>
      <c r="Q82" s="15" t="inlineStr">
        <is>
          <t>7月</t>
        </is>
      </c>
      <c r="R82" s="15" t="inlineStr">
        <is>
          <t>商务简餐</t>
        </is>
      </c>
      <c r="S82" s="17" t="n">
        <v>9.119999999999999</v>
      </c>
      <c r="T82" s="17">
        <f>SUMIFS($M$2:$M$383,$A$2:$A$383,Q82,$C$2:$C$383,R82)/V82</f>
        <v>9.119999999999997</v>
      </c>
      <c r="U82" s="17">
        <f>S82-T82</f>
        <v>1.7763568394002505e-15</v>
      </c>
      <c r="V82" s="17" t="n">
        <v>0.008333333333333333</v>
      </c>
      <c r="W82" s="17">
        <f>S82*V82</f>
        <v>0.076</v>
      </c>
      <c r="X82" s="17">
        <f>U82*V82</f>
        <v>1.4802973661668754e-17</v>
      </c>
    </row>
    <row r="83">
      <c r="A83" s="15" t="inlineStr">
        <is>
          <t>3月</t>
        </is>
      </c>
      <c r="B83" s="15" t="inlineStr">
        <is>
          <t>五、酒店客户</t>
        </is>
      </c>
      <c r="C83" s="15" t="inlineStr">
        <is>
          <t>酒店参会客户</t>
        </is>
      </c>
      <c r="D83" s="15" t="inlineStr">
        <is>
          <t>酒店参会客户</t>
        </is>
      </c>
      <c r="E83" s="15" t="inlineStr">
        <is>
          <t>会展服务</t>
        </is>
      </c>
      <c r="F83" s="15" t="inlineStr">
        <is>
          <t>产品服务</t>
        </is>
      </c>
      <c r="G83" s="17" t="n">
        <v>10</v>
      </c>
      <c r="H83" s="17" t="n">
        <v>0.125</v>
      </c>
      <c r="I83" s="17" t="n">
        <v>0.05882352941176471</v>
      </c>
      <c r="J83" s="17" t="n">
        <v>1</v>
      </c>
      <c r="K83" s="17" t="n">
        <v>0.3333333333333333</v>
      </c>
      <c r="L83" s="17">
        <f>PRODUCT(H83:K83)</f>
        <v>0.0024509803921568627</v>
      </c>
      <c r="M83" s="17">
        <f>G83*L83</f>
        <v>0.024509803921568627</v>
      </c>
      <c r="N83" s="17">
        <f>IF(K83=0,H83*I83,L83)</f>
        <v>0.0024509803921568627</v>
      </c>
      <c r="O83" s="17">
        <f>G83*N83</f>
        <v>0.024509803921568627</v>
      </c>
      <c r="P83" s="15" t="n"/>
      <c r="Q83" s="15" t="inlineStr">
        <is>
          <t>7月</t>
        </is>
      </c>
      <c r="R83" s="15" t="inlineStr">
        <is>
          <t>特色美食廊</t>
        </is>
      </c>
      <c r="S83" s="17" t="n">
        <v>9.210000000000001</v>
      </c>
      <c r="T83" s="17">
        <f>SUMIFS($M$2:$M$383,$A$2:$A$383,Q83,$C$2:$C$383,R83)/V83</f>
        <v>9.21</v>
      </c>
      <c r="U83" s="17">
        <f>S83-T83</f>
        <v>0.0</v>
      </c>
      <c r="V83" s="17" t="n">
        <v>0.008333333333333333</v>
      </c>
      <c r="W83" s="17">
        <f>S83*V83</f>
        <v>0.07675000000000001</v>
      </c>
      <c r="X83" s="17">
        <f>U83*V83</f>
        <v>0.0</v>
      </c>
    </row>
    <row r="84">
      <c r="A84" s="15" t="inlineStr">
        <is>
          <t>3月</t>
        </is>
      </c>
      <c r="B84" s="15" t="inlineStr">
        <is>
          <t>五、酒店客户</t>
        </is>
      </c>
      <c r="C84" s="15" t="inlineStr">
        <is>
          <t>酒店参会客户</t>
        </is>
      </c>
      <c r="D84" s="15" t="inlineStr">
        <is>
          <t>酒店参会客户</t>
        </is>
      </c>
      <c r="E84" s="15" t="inlineStr">
        <is>
          <t>硬件设施</t>
        </is>
      </c>
      <c r="F84" s="15" t="inlineStr">
        <is>
          <t>硬件设施</t>
        </is>
      </c>
      <c r="G84" s="17" t="n">
        <v>9.5</v>
      </c>
      <c r="H84" s="17" t="n">
        <v>0.125</v>
      </c>
      <c r="I84" s="17" t="n">
        <v>0.05882352941176471</v>
      </c>
      <c r="J84" s="17" t="n">
        <v>1</v>
      </c>
      <c r="K84" s="17" t="n">
        <v>0.3333333333333333</v>
      </c>
      <c r="L84" s="17">
        <f>PRODUCT(H84:K84)</f>
        <v>0.0024509803921568627</v>
      </c>
      <c r="M84" s="17">
        <f>G84*L84</f>
        <v>0.023284313725490197</v>
      </c>
      <c r="N84" s="17">
        <f>IF(K84=0,H84*I84,L84)</f>
        <v>0.0024509803921568627</v>
      </c>
      <c r="O84" s="17">
        <f>G84*N84</f>
        <v>0.023284313725490197</v>
      </c>
      <c r="P84" s="15" t="n"/>
      <c r="Q84" s="15" t="inlineStr">
        <is>
          <t>7月</t>
        </is>
      </c>
      <c r="R84" s="15" t="inlineStr">
        <is>
          <t>游客</t>
        </is>
      </c>
      <c r="S84" s="17" t="n">
        <v>9.970000000000001</v>
      </c>
      <c r="T84" s="17">
        <f>SUMIFS($M$2:$M$383,$A$2:$A$383,Q84,$C$2:$C$383,R84)/V84</f>
        <v>9.964999999999998</v>
      </c>
      <c r="U84" s="17">
        <f>S84-T84</f>
        <v>0.005000000000002558</v>
      </c>
      <c r="V84" s="17" t="n">
        <v>0.008333333333333333</v>
      </c>
      <c r="W84" s="17">
        <f>S84*V84</f>
        <v>0.08308333333333334</v>
      </c>
      <c r="X84" s="17">
        <f>U84*V84</f>
        <v>4.1666666666687983e-05</v>
      </c>
    </row>
    <row r="85">
      <c r="A85" s="15" t="inlineStr">
        <is>
          <t>3月</t>
        </is>
      </c>
      <c r="B85" s="15" t="inlineStr">
        <is>
          <t>五、酒店客户</t>
        </is>
      </c>
      <c r="C85" s="15" t="inlineStr">
        <is>
          <t>酒店参会客户</t>
        </is>
      </c>
      <c r="D85" s="15" t="inlineStr">
        <is>
          <t>酒店参会客户</t>
        </is>
      </c>
      <c r="E85" s="15" t="inlineStr">
        <is>
          <t>配套服务</t>
        </is>
      </c>
      <c r="F85" s="15" t="inlineStr">
        <is>
          <t>配套服务</t>
        </is>
      </c>
      <c r="G85" s="17" t="n">
        <v>9.58</v>
      </c>
      <c r="H85" s="17" t="n">
        <v>0.125</v>
      </c>
      <c r="I85" s="17" t="n">
        <v>0.05882352941176471</v>
      </c>
      <c r="J85" s="17" t="n">
        <v>1</v>
      </c>
      <c r="K85" s="17" t="n">
        <v>0.3333333333333333</v>
      </c>
      <c r="L85" s="17">
        <f>PRODUCT(H85:K85)</f>
        <v>0.0024509803921568627</v>
      </c>
      <c r="M85" s="17">
        <f>G85*L85</f>
        <v>0.023480392156862744</v>
      </c>
      <c r="N85" s="17">
        <f>IF(K85=0,H85*I85,L85)</f>
        <v>0.0024509803921568627</v>
      </c>
      <c r="O85" s="17">
        <f>G85*N85</f>
        <v>0.023480392156862744</v>
      </c>
      <c r="P85" s="15" t="n"/>
      <c r="Q85" s="15" t="inlineStr">
        <is>
          <t>7月</t>
        </is>
      </c>
      <c r="R85" s="15" t="inlineStr">
        <is>
          <t>旅行社工作人员</t>
        </is>
      </c>
      <c r="S85" s="17" t="n">
        <v>9.82</v>
      </c>
      <c r="T85" s="17">
        <f>SUMIFS($M$2:$M$383,$A$2:$A$383,Q85,$C$2:$C$383,R85)/V85</f>
        <v>9.815</v>
      </c>
      <c r="U85" s="17">
        <f>S85-T85</f>
        <v>0.005000000000000782</v>
      </c>
      <c r="V85" s="17" t="n">
        <v>0.008333333333333333</v>
      </c>
      <c r="W85" s="17">
        <f>S85*V85</f>
        <v>0.08183333333333334</v>
      </c>
      <c r="X85" s="17">
        <f>U85*V85</f>
        <v>4.166666666667318e-05</v>
      </c>
    </row>
    <row r="86">
      <c r="A86" s="15" t="inlineStr">
        <is>
          <t>3月</t>
        </is>
      </c>
      <c r="B86" s="15" t="inlineStr">
        <is>
          <t>五、酒店客户</t>
        </is>
      </c>
      <c r="C86" s="15" t="inlineStr">
        <is>
          <t>酒店参会客户</t>
        </is>
      </c>
      <c r="D86" s="15" t="inlineStr">
        <is>
          <t>配套服务子项</t>
        </is>
      </c>
      <c r="E86" s="15" t="inlineStr">
        <is>
          <t>其中：餐饮服务</t>
        </is>
      </c>
      <c r="F86" s="15" t="inlineStr">
        <is>
          <t>餐饮服务</t>
        </is>
      </c>
      <c r="G86" s="17" t="n">
        <v>9</v>
      </c>
      <c r="H86" s="17" t="n">
        <v>0.125</v>
      </c>
      <c r="I86" s="17" t="n">
        <v>0.05882352941176471</v>
      </c>
      <c r="J86" s="17" t="n">
        <v>1</v>
      </c>
      <c r="K86" s="17" t="n">
        <v>0</v>
      </c>
      <c r="L86" s="17">
        <f>PRODUCT(H86:K86)</f>
        <v>0.0</v>
      </c>
      <c r="M86" s="17">
        <f>G86*L86</f>
        <v>0.0</v>
      </c>
      <c r="N86" s="17">
        <f>IF(K86=0,H86*I86,L86)</f>
        <v>0.007352941176470588</v>
      </c>
      <c r="O86" s="17">
        <f>G86*N86</f>
        <v>0.0661764705882353</v>
      </c>
      <c r="P86" s="15" t="n"/>
      <c r="Q86" s="15" t="inlineStr">
        <is>
          <t>7月</t>
        </is>
      </c>
      <c r="R86" s="15" t="inlineStr">
        <is>
          <t>酒店散客</t>
        </is>
      </c>
      <c r="S86" s="17" t="n">
        <v>9.84</v>
      </c>
      <c r="T86" s="17">
        <f>SUMIFS($M$2:$M$383,$A$2:$A$383,Q86,$C$2:$C$383,R86)/V86</f>
        <v>9.839999999999998</v>
      </c>
      <c r="U86" s="17">
        <f>S86-T86</f>
        <v>1.7763568394002505e-15</v>
      </c>
      <c r="V86" s="17" t="n">
        <v>0.008333333333333333</v>
      </c>
      <c r="W86" s="17">
        <f>S86*V86</f>
        <v>0.082</v>
      </c>
      <c r="X86" s="17">
        <f>U86*V86</f>
        <v>1.4802973661668754e-17</v>
      </c>
    </row>
    <row r="87">
      <c r="A87" s="15" t="inlineStr">
        <is>
          <t>3月</t>
        </is>
      </c>
      <c r="B87" s="15" t="inlineStr">
        <is>
          <t>五、酒店客户</t>
        </is>
      </c>
      <c r="C87" s="15" t="inlineStr">
        <is>
          <t>酒店餐饮客户</t>
        </is>
      </c>
      <c r="D87" s="15" t="inlineStr">
        <is>
          <t>酒店宴会</t>
        </is>
      </c>
      <c r="E87" s="15" t="inlineStr">
        <is>
          <t>餐饮服务</t>
        </is>
      </c>
      <c r="F87" s="15" t="inlineStr">
        <is>
          <t>餐饮服务</t>
        </is>
      </c>
      <c r="G87" s="17" t="n">
        <v>9.9</v>
      </c>
      <c r="H87" s="17" t="n">
        <v>0.125</v>
      </c>
      <c r="I87" s="17" t="n">
        <v>0.05882352941176471</v>
      </c>
      <c r="J87" s="17" t="n">
        <v>0.5</v>
      </c>
      <c r="K87" s="17" t="n">
        <v>0.5</v>
      </c>
      <c r="L87" s="17">
        <f>PRODUCT(H87:K87)</f>
        <v>0.001838235294117647</v>
      </c>
      <c r="M87" s="17">
        <f>G87*L87</f>
        <v>0.018198529411764707</v>
      </c>
      <c r="N87" s="17">
        <f>IF(K87=0,H87*I87,L87)</f>
        <v>0.001838235294117647</v>
      </c>
      <c r="O87" s="17">
        <f>G87*N87</f>
        <v>0.018198529411764707</v>
      </c>
      <c r="P87" s="15" t="n"/>
      <c r="Q87" s="15" t="inlineStr">
        <is>
          <t>7月</t>
        </is>
      </c>
      <c r="R87" s="15" t="inlineStr">
        <is>
          <t>酒店住宿团队</t>
        </is>
      </c>
      <c r="S87" s="17" t="n">
        <v>9.890000000000001</v>
      </c>
      <c r="T87" s="17">
        <f>SUMIFS($M$2:$M$383,$A$2:$A$383,Q87,$C$2:$C$383,R87)/V87</f>
        <v>9.893333333333333</v>
      </c>
      <c r="U87" s="17">
        <f>S87-T87</f>
        <v>-0.003333333333332078</v>
      </c>
      <c r="V87" s="17" t="n">
        <v>0.008333333333333333</v>
      </c>
      <c r="W87" s="17">
        <f>S87*V87</f>
        <v>0.08241666666666667</v>
      </c>
      <c r="X87" s="17">
        <f>U87*V87</f>
        <v>-2.7777777777767317e-05</v>
      </c>
    </row>
    <row r="88">
      <c r="A88" s="15" t="inlineStr">
        <is>
          <t>3月</t>
        </is>
      </c>
      <c r="B88" s="15" t="inlineStr">
        <is>
          <t>五、酒店客户</t>
        </is>
      </c>
      <c r="C88" s="15" t="inlineStr">
        <is>
          <t>酒店餐饮客户</t>
        </is>
      </c>
      <c r="D88" s="15" t="inlineStr">
        <is>
          <t>酒店宴会</t>
        </is>
      </c>
      <c r="E88" s="15" t="inlineStr">
        <is>
          <t>硬件设施</t>
        </is>
      </c>
      <c r="F88" s="15" t="inlineStr">
        <is>
          <t>硬件设施</t>
        </is>
      </c>
      <c r="G88" s="17" t="n">
        <v>9.029999999999999</v>
      </c>
      <c r="H88" s="17" t="n">
        <v>0.125</v>
      </c>
      <c r="I88" s="17" t="n">
        <v>0.05882352941176471</v>
      </c>
      <c r="J88" s="17" t="n">
        <v>0.5</v>
      </c>
      <c r="K88" s="17" t="n">
        <v>0.5</v>
      </c>
      <c r="L88" s="17">
        <f>PRODUCT(H88:K88)</f>
        <v>0.001838235294117647</v>
      </c>
      <c r="M88" s="17">
        <f>G88*L88</f>
        <v>0.01659926470588235</v>
      </c>
      <c r="N88" s="17">
        <f>IF(K88=0,H88*I88,L88)</f>
        <v>0.001838235294117647</v>
      </c>
      <c r="O88" s="17">
        <f>G88*N88</f>
        <v>0.01659926470588235</v>
      </c>
      <c r="P88" s="15" t="n"/>
      <c r="Q88" s="15" t="inlineStr">
        <is>
          <t>7月</t>
        </is>
      </c>
      <c r="R88" s="15" t="inlineStr">
        <is>
          <t>酒店参会客户</t>
        </is>
      </c>
      <c r="S88" s="17" t="n">
        <v>9.949999999999999</v>
      </c>
      <c r="T88" s="17">
        <f>SUMIFS($M$2:$M$383,$A$2:$A$383,Q88,$C$2:$C$383,R88)/V88</f>
        <v>9.946666666666667</v>
      </c>
      <c r="U88" s="17">
        <f>S88-T88</f>
        <v>0.003333333333332078</v>
      </c>
      <c r="V88" s="17" t="n">
        <v>0.008333333333333333</v>
      </c>
      <c r="W88" s="17">
        <f>S88*V88</f>
        <v>0.08291666666666667</v>
      </c>
      <c r="X88" s="17">
        <f>U88*V88</f>
        <v>2.7777777777767317e-05</v>
      </c>
    </row>
    <row r="89">
      <c r="A89" s="15" t="inlineStr">
        <is>
          <t>3月</t>
        </is>
      </c>
      <c r="B89" s="15" t="inlineStr">
        <is>
          <t>五、酒店客户</t>
        </is>
      </c>
      <c r="C89" s="15" t="inlineStr">
        <is>
          <t>酒店餐饮客户</t>
        </is>
      </c>
      <c r="D89" s="15" t="inlineStr">
        <is>
          <t>酒店餐饮-宴会</t>
        </is>
      </c>
      <c r="E89" s="15" t="inlineStr">
        <is>
          <t>餐饮服务</t>
        </is>
      </c>
      <c r="F89" s="15" t="inlineStr">
        <is>
          <t>餐饮服务</t>
        </is>
      </c>
      <c r="G89" s="17" t="n">
        <v>9.75</v>
      </c>
      <c r="H89" s="17" t="n">
        <v>0.125</v>
      </c>
      <c r="I89" s="17" t="n">
        <v>0.05882352941176471</v>
      </c>
      <c r="J89" s="17" t="n">
        <v>0.5</v>
      </c>
      <c r="K89" s="17" t="n">
        <v>0.5</v>
      </c>
      <c r="L89" s="17">
        <f>PRODUCT(H89:K89)</f>
        <v>0.001838235294117647</v>
      </c>
      <c r="M89" s="17">
        <f>G89*L89</f>
        <v>0.017922794117647058</v>
      </c>
      <c r="N89" s="17">
        <f>IF(K89=0,H89*I89,L89)</f>
        <v>0.001838235294117647</v>
      </c>
      <c r="O89" s="17">
        <f>G89*N89</f>
        <v>0.017922794117647058</v>
      </c>
      <c r="P89" s="15" t="n"/>
      <c r="Q89" s="15" t="inlineStr">
        <is>
          <t>7月</t>
        </is>
      </c>
      <c r="R89" s="15" t="inlineStr">
        <is>
          <t>酒店会议主（承）办</t>
        </is>
      </c>
      <c r="S89" s="17" t="n">
        <v>9.960000000000001</v>
      </c>
      <c r="T89" s="17">
        <f>SUMIFS($M$2:$M$383,$A$2:$A$383,Q89,$C$2:$C$383,R89)/V89</f>
        <v>9.959999999999999</v>
      </c>
      <c r="U89" s="17">
        <f>S89-T89</f>
        <v>1.7763568394002505e-15</v>
      </c>
      <c r="V89" s="17" t="n">
        <v>0.008333333333333333</v>
      </c>
      <c r="W89" s="17">
        <f>S89*V89</f>
        <v>0.083</v>
      </c>
      <c r="X89" s="17">
        <f>U89*V89</f>
        <v>1.4802973661668754e-17</v>
      </c>
    </row>
    <row r="90">
      <c r="A90" s="15" t="inlineStr">
        <is>
          <t>3月</t>
        </is>
      </c>
      <c r="B90" s="15" t="inlineStr">
        <is>
          <t>五、酒店客户</t>
        </is>
      </c>
      <c r="C90" s="15" t="inlineStr">
        <is>
          <t>酒店餐饮客户</t>
        </is>
      </c>
      <c r="D90" s="15" t="inlineStr">
        <is>
          <t>酒店餐饮-宴会</t>
        </is>
      </c>
      <c r="E90" s="15" t="inlineStr">
        <is>
          <t>硬件设施</t>
        </is>
      </c>
      <c r="F90" s="15" t="inlineStr">
        <is>
          <t>硬件设施</t>
        </is>
      </c>
      <c r="G90" s="17" t="n">
        <v>9.67</v>
      </c>
      <c r="H90" s="17" t="n">
        <v>0.125</v>
      </c>
      <c r="I90" s="17" t="n">
        <v>0.05882352941176471</v>
      </c>
      <c r="J90" s="17" t="n">
        <v>0.5</v>
      </c>
      <c r="K90" s="17" t="n">
        <v>0.5</v>
      </c>
      <c r="L90" s="17">
        <f>PRODUCT(H90:K90)</f>
        <v>0.001838235294117647</v>
      </c>
      <c r="M90" s="17">
        <f>G90*L90</f>
        <v>0.017775735294117648</v>
      </c>
      <c r="N90" s="17">
        <f>IF(K90=0,H90*I90,L90)</f>
        <v>0.001838235294117647</v>
      </c>
      <c r="O90" s="17">
        <f>G90*N90</f>
        <v>0.017775735294117648</v>
      </c>
      <c r="P90" s="15" t="n"/>
      <c r="Q90" s="15" t="inlineStr">
        <is>
          <t>7月</t>
        </is>
      </c>
      <c r="R90" s="15" t="inlineStr">
        <is>
          <t>酒店餐饮客户</t>
        </is>
      </c>
      <c r="S90" s="17" t="n">
        <v>9.529999999999999</v>
      </c>
      <c r="T90" s="17">
        <f>SUMIFS($M$2:$M$383,$A$2:$A$383,Q90,$C$2:$C$383,R90)/V90</f>
        <v>9.5225</v>
      </c>
      <c r="U90" s="17">
        <f>S90-T90</f>
        <v>0.007499999999998508</v>
      </c>
      <c r="V90" s="17" t="n">
        <v>0.008333333333333333</v>
      </c>
      <c r="W90" s="17">
        <f>S90*V90</f>
        <v>0.07941666666666666</v>
      </c>
      <c r="X90" s="17">
        <f>U90*V90</f>
        <v>6.249999999998756e-05</v>
      </c>
    </row>
    <row r="91">
      <c r="A91" s="15" t="inlineStr">
        <is>
          <t>4月</t>
        </is>
      </c>
      <c r="B91" s="15" t="inlineStr">
        <is>
          <t>一、会展客户</t>
        </is>
      </c>
      <c r="C91" s="15" t="inlineStr">
        <is>
          <t>展览活动主（承）办</t>
        </is>
      </c>
      <c r="D91" s="15" t="inlineStr">
        <is>
          <t>展览主承办</t>
        </is>
      </c>
      <c r="E91" s="15" t="inlineStr">
        <is>
          <t>会展服务</t>
        </is>
      </c>
      <c r="F91" s="15" t="inlineStr">
        <is>
          <t>产品服务</t>
        </is>
      </c>
      <c r="G91" s="17" t="n">
        <v>9.91</v>
      </c>
      <c r="H91" s="17" t="n">
        <v>0.125</v>
      </c>
      <c r="I91" s="17" t="n">
        <v>0.07142857142857142</v>
      </c>
      <c r="J91" s="17" t="n">
        <v>1</v>
      </c>
      <c r="K91" s="17" t="n">
        <v>0.3333333333333333</v>
      </c>
      <c r="L91" s="17">
        <f>PRODUCT(H91:K91)</f>
        <v>0.002976190476190476</v>
      </c>
      <c r="M91" s="17">
        <f>G91*L91</f>
        <v>0.029494047619047618</v>
      </c>
      <c r="N91" s="17">
        <f>IF(K91=0,H91*I91,L91)</f>
        <v>0.002976190476190476</v>
      </c>
      <c r="O91" s="17">
        <f>G91*N91</f>
        <v>0.029494047619047618</v>
      </c>
      <c r="P91" s="15" t="n"/>
      <c r="Q91" s="15" t="inlineStr">
        <is>
          <t>8月</t>
        </is>
      </c>
      <c r="R91" s="15" t="inlineStr">
        <is>
          <t>展览活动主（承）办</t>
        </is>
      </c>
      <c r="S91" s="17" t="n">
        <v>9.779999999999999</v>
      </c>
      <c r="T91" s="17">
        <f>SUMIFS($M$2:$M$383,$A$2:$A$383,Q91,$C$2:$C$383,R91)/V91</f>
        <v>9.776666666666667</v>
      </c>
      <c r="U91" s="17">
        <f>S91-T91</f>
        <v>0.003333333333332078</v>
      </c>
      <c r="V91" s="17" t="n">
        <v>0.008333333333333333</v>
      </c>
      <c r="W91" s="17">
        <f>S91*V91</f>
        <v>0.08149999999999999</v>
      </c>
      <c r="X91" s="17">
        <f>U91*V91</f>
        <v>2.7777777777767317e-05</v>
      </c>
    </row>
    <row r="92">
      <c r="A92" s="15" t="inlineStr">
        <is>
          <t>4月</t>
        </is>
      </c>
      <c r="B92" s="15" t="inlineStr">
        <is>
          <t>一、会展客户</t>
        </is>
      </c>
      <c r="C92" s="15" t="inlineStr">
        <is>
          <t>展览活动主（承）办</t>
        </is>
      </c>
      <c r="D92" s="15" t="inlineStr">
        <is>
          <t>展览主承办</t>
        </is>
      </c>
      <c r="E92" s="15" t="inlineStr">
        <is>
          <t>硬件设施</t>
        </is>
      </c>
      <c r="F92" s="15" t="inlineStr">
        <is>
          <t>硬件设施</t>
        </is>
      </c>
      <c r="G92" s="17" t="n">
        <v>9.27</v>
      </c>
      <c r="H92" s="17" t="n">
        <v>0.125</v>
      </c>
      <c r="I92" s="17" t="n">
        <v>0.07142857142857142</v>
      </c>
      <c r="J92" s="17" t="n">
        <v>1</v>
      </c>
      <c r="K92" s="17" t="n">
        <v>0.3333333333333333</v>
      </c>
      <c r="L92" s="17">
        <f>PRODUCT(H92:K92)</f>
        <v>0.002976190476190476</v>
      </c>
      <c r="M92" s="17">
        <f>G92*L92</f>
        <v>0.027589285714285712</v>
      </c>
      <c r="N92" s="17">
        <f>IF(K92=0,H92*I92,L92)</f>
        <v>0.002976190476190476</v>
      </c>
      <c r="O92" s="17">
        <f>G92*N92</f>
        <v>0.027589285714285712</v>
      </c>
      <c r="P92" s="15" t="n"/>
      <c r="Q92" s="15" t="inlineStr">
        <is>
          <t>8月</t>
        </is>
      </c>
      <c r="R92" s="15" t="inlineStr">
        <is>
          <t>参展商</t>
        </is>
      </c>
      <c r="S92" s="17" t="n">
        <v>9.73</v>
      </c>
      <c r="T92" s="17">
        <f>SUMIFS($M$2:$M$383,$A$2:$A$383,Q92,$C$2:$C$383,R92)/V92</f>
        <v>9.729999999999997</v>
      </c>
      <c r="U92" s="17">
        <f>S92-T92</f>
        <v>3.552713678800501e-15</v>
      </c>
      <c r="V92" s="17" t="n">
        <v>0.008333333333333333</v>
      </c>
      <c r="W92" s="17">
        <f>S92*V92</f>
        <v>0.08108333333333334</v>
      </c>
      <c r="X92" s="17">
        <f>U92*V92</f>
        <v>2.960594732333751e-17</v>
      </c>
    </row>
    <row r="93">
      <c r="A93" s="15" t="inlineStr">
        <is>
          <t>4月</t>
        </is>
      </c>
      <c r="B93" s="15" t="inlineStr">
        <is>
          <t>一、会展客户</t>
        </is>
      </c>
      <c r="C93" s="15" t="inlineStr">
        <is>
          <t>展览活动主（承）办</t>
        </is>
      </c>
      <c r="D93" s="15" t="inlineStr">
        <is>
          <t>展览主承办</t>
        </is>
      </c>
      <c r="E93" s="15" t="inlineStr">
        <is>
          <t>配套服务</t>
        </is>
      </c>
      <c r="F93" s="15" t="inlineStr">
        <is>
          <t>配套服务</t>
        </is>
      </c>
      <c r="G93" s="17" t="n">
        <v>9.640000000000001</v>
      </c>
      <c r="H93" s="17" t="n">
        <v>0.125</v>
      </c>
      <c r="I93" s="17" t="n">
        <v>0.07142857142857142</v>
      </c>
      <c r="J93" s="17" t="n">
        <v>1</v>
      </c>
      <c r="K93" s="17" t="n">
        <v>0.3333333333333333</v>
      </c>
      <c r="L93" s="17">
        <f>PRODUCT(H93:K93)</f>
        <v>0.002976190476190476</v>
      </c>
      <c r="M93" s="17">
        <f>G93*L93</f>
        <v>0.02869047619047619</v>
      </c>
      <c r="N93" s="17">
        <f>IF(K93=0,H93*I93,L93)</f>
        <v>0.002976190476190476</v>
      </c>
      <c r="O93" s="17">
        <f>G93*N93</f>
        <v>0.02869047619047619</v>
      </c>
      <c r="P93" s="15" t="n"/>
      <c r="Q93" s="15" t="inlineStr">
        <is>
          <t>8月</t>
        </is>
      </c>
      <c r="R93" s="15" t="inlineStr">
        <is>
          <t>专业观众</t>
        </is>
      </c>
      <c r="S93" s="17" t="n">
        <v>9.789999999999999</v>
      </c>
      <c r="T93" s="17">
        <f>SUMIFS($M$2:$M$383,$A$2:$A$383,Q93,$C$2:$C$383,R93)/V93</f>
        <v>9.793333333333333</v>
      </c>
      <c r="U93" s="17">
        <f>S93-T93</f>
        <v>-0.0033333333333338544</v>
      </c>
      <c r="V93" s="17" t="n">
        <v>0.008333333333333333</v>
      </c>
      <c r="W93" s="17">
        <f>S93*V93</f>
        <v>0.08158333333333333</v>
      </c>
      <c r="X93" s="17">
        <f>U93*V93</f>
        <v>-2.777777777778212e-05</v>
      </c>
    </row>
    <row r="94">
      <c r="A94" s="15" t="inlineStr">
        <is>
          <t>4月</t>
        </is>
      </c>
      <c r="B94" s="15" t="inlineStr">
        <is>
          <t>一、会展客户</t>
        </is>
      </c>
      <c r="C94" s="15" t="inlineStr">
        <is>
          <t>展览活动主（承）办</t>
        </is>
      </c>
      <c r="D94" s="15" t="inlineStr">
        <is>
          <t>配套服务子项</t>
        </is>
      </c>
      <c r="E94" s="15" t="inlineStr">
        <is>
          <t>其中：餐饮服务</t>
        </is>
      </c>
      <c r="F94" s="15" t="inlineStr">
        <is>
          <t>餐饮服务</t>
        </is>
      </c>
      <c r="G94" s="17" t="n">
        <v>8.83</v>
      </c>
      <c r="H94" s="17" t="n">
        <v>0.125</v>
      </c>
      <c r="I94" s="17" t="n">
        <v>0.07142857142857142</v>
      </c>
      <c r="J94" s="17" t="n">
        <v>1</v>
      </c>
      <c r="K94" s="17" t="n">
        <v>0</v>
      </c>
      <c r="L94" s="17">
        <f>PRODUCT(H94:K94)</f>
        <v>0.0</v>
      </c>
      <c r="M94" s="17">
        <f>G94*L94</f>
        <v>0.0</v>
      </c>
      <c r="N94" s="17">
        <f>IF(K94=0,H94*I94,L94)</f>
        <v>0.008928571428571428</v>
      </c>
      <c r="O94" s="17">
        <f>G94*N94</f>
        <v>0.07883928571428571</v>
      </c>
      <c r="P94" s="15" t="n"/>
      <c r="Q94" s="15" t="inlineStr">
        <is>
          <t>8月</t>
        </is>
      </c>
      <c r="R94" s="15" t="inlineStr">
        <is>
          <t>会展服务商</t>
        </is>
      </c>
      <c r="S94" s="17" t="n">
        <v>9.869999999999999</v>
      </c>
      <c r="T94" s="17">
        <f>SUMIFS($M$2:$M$383,$A$2:$A$383,Q94,$C$2:$C$383,R94)/V94</f>
        <v>9.8675</v>
      </c>
      <c r="U94" s="17">
        <f>S94-T94</f>
        <v>0.0024999999999995026</v>
      </c>
      <c r="V94" s="17" t="n">
        <v>0.008333333333333333</v>
      </c>
      <c r="W94" s="17">
        <f>S94*V94</f>
        <v>0.08224999999999999</v>
      </c>
      <c r="X94" s="17">
        <f>U94*V94</f>
        <v>2.083333333332919e-05</v>
      </c>
    </row>
    <row r="95">
      <c r="A95" s="15" t="inlineStr">
        <is>
          <t>4月</t>
        </is>
      </c>
      <c r="B95" s="15" t="inlineStr">
        <is>
          <t>一、会展客户</t>
        </is>
      </c>
      <c r="C95" s="15" t="inlineStr">
        <is>
          <t>参展商</t>
        </is>
      </c>
      <c r="D95" s="15" t="inlineStr">
        <is>
          <t>参展商</t>
        </is>
      </c>
      <c r="E95" s="15" t="inlineStr">
        <is>
          <t>会场服务</t>
        </is>
      </c>
      <c r="F95" s="15" t="inlineStr">
        <is>
          <t>产品服务</t>
        </is>
      </c>
      <c r="G95" s="17" t="n">
        <v>9.869999999999999</v>
      </c>
      <c r="H95" s="17" t="n">
        <v>0.125</v>
      </c>
      <c r="I95" s="17" t="n">
        <v>0.07142857142857142</v>
      </c>
      <c r="J95" s="17" t="n">
        <v>1</v>
      </c>
      <c r="K95" s="17" t="n">
        <v>0.3333333333333333</v>
      </c>
      <c r="L95" s="17">
        <f>PRODUCT(H95:K95)</f>
        <v>0.002976190476190476</v>
      </c>
      <c r="M95" s="17">
        <f>G95*L95</f>
        <v>0.029374999999999995</v>
      </c>
      <c r="N95" s="17">
        <f>IF(K95=0,H95*I95,L95)</f>
        <v>0.002976190476190476</v>
      </c>
      <c r="O95" s="17">
        <f>G95*N95</f>
        <v>0.029374999999999995</v>
      </c>
      <c r="P95" s="15" t="n"/>
      <c r="Q95" s="15" t="inlineStr">
        <is>
          <t>8月</t>
        </is>
      </c>
      <c r="R95" s="15" t="inlineStr">
        <is>
          <t>会议活动主（承）办</t>
        </is>
      </c>
      <c r="S95" s="17" t="n">
        <v>9.56</v>
      </c>
      <c r="T95" s="17">
        <f>SUMIFS($M$2:$M$383,$A$2:$A$383,Q95,$C$2:$C$383,R95)/V95</f>
        <v>9.56333333333333</v>
      </c>
      <c r="U95" s="17">
        <f>S95-T95</f>
        <v>-0.0033333333333303017</v>
      </c>
      <c r="V95" s="17" t="n">
        <v>0.008333333333333333</v>
      </c>
      <c r="W95" s="17">
        <f>S95*V95</f>
        <v>0.07966666666666666</v>
      </c>
      <c r="X95" s="17">
        <f>U95*V95</f>
        <v>-2.7777777777752514e-05</v>
      </c>
    </row>
    <row r="96">
      <c r="A96" s="15" t="inlineStr">
        <is>
          <t>4月</t>
        </is>
      </c>
      <c r="B96" s="15" t="inlineStr">
        <is>
          <t>一、会展客户</t>
        </is>
      </c>
      <c r="C96" s="15" t="inlineStr">
        <is>
          <t>参展商</t>
        </is>
      </c>
      <c r="D96" s="15" t="inlineStr">
        <is>
          <t>参展商</t>
        </is>
      </c>
      <c r="E96" s="15" t="inlineStr">
        <is>
          <t>硬件设施</t>
        </is>
      </c>
      <c r="F96" s="15" t="inlineStr">
        <is>
          <t>硬件设施</t>
        </is>
      </c>
      <c r="G96" s="17" t="n">
        <v>9.26</v>
      </c>
      <c r="H96" s="17" t="n">
        <v>0.125</v>
      </c>
      <c r="I96" s="17" t="n">
        <v>0.07142857142857142</v>
      </c>
      <c r="J96" s="17" t="n">
        <v>1</v>
      </c>
      <c r="K96" s="17" t="n">
        <v>0.3333333333333333</v>
      </c>
      <c r="L96" s="17">
        <f>PRODUCT(H96:K96)</f>
        <v>0.002976190476190476</v>
      </c>
      <c r="M96" s="17">
        <f>G96*L96</f>
        <v>0.027559523809523808</v>
      </c>
      <c r="N96" s="17">
        <f>IF(K96=0,H96*I96,L96)</f>
        <v>0.002976190476190476</v>
      </c>
      <c r="O96" s="17">
        <f>G96*N96</f>
        <v>0.027559523809523808</v>
      </c>
      <c r="P96" s="15" t="n"/>
      <c r="Q96" s="15" t="inlineStr">
        <is>
          <t>8月</t>
        </is>
      </c>
      <c r="R96" s="15" t="inlineStr">
        <is>
          <t>参会客户</t>
        </is>
      </c>
      <c r="S96" s="17" t="n">
        <v>9.83</v>
      </c>
      <c r="T96" s="17">
        <f>SUMIFS($M$2:$M$383,$A$2:$A$383,Q96,$C$2:$C$383,R96)/V96</f>
        <v>9.83</v>
      </c>
      <c r="U96" s="17">
        <f>S96-T96</f>
        <v>0.0</v>
      </c>
      <c r="V96" s="17" t="n">
        <v>0.008333333333333333</v>
      </c>
      <c r="W96" s="17">
        <f>S96*V96</f>
        <v>0.08191666666666667</v>
      </c>
      <c r="X96" s="17">
        <f>U96*V96</f>
        <v>0.0</v>
      </c>
    </row>
    <row r="97">
      <c r="A97" s="15" t="inlineStr">
        <is>
          <t>4月</t>
        </is>
      </c>
      <c r="B97" s="15" t="inlineStr">
        <is>
          <t>一、会展客户</t>
        </is>
      </c>
      <c r="C97" s="15" t="inlineStr">
        <is>
          <t>参展商</t>
        </is>
      </c>
      <c r="D97" s="15" t="inlineStr">
        <is>
          <t>参展商</t>
        </is>
      </c>
      <c r="E97" s="15" t="inlineStr">
        <is>
          <t>配套服务</t>
        </is>
      </c>
      <c r="F97" s="15" t="inlineStr">
        <is>
          <t>配套服务</t>
        </is>
      </c>
      <c r="G97" s="17" t="n">
        <v>9.35</v>
      </c>
      <c r="H97" s="17" t="n">
        <v>0.125</v>
      </c>
      <c r="I97" s="17" t="n">
        <v>0.07142857142857142</v>
      </c>
      <c r="J97" s="17" t="n">
        <v>1</v>
      </c>
      <c r="K97" s="17" t="n">
        <v>0.3333333333333333</v>
      </c>
      <c r="L97" s="17">
        <f>PRODUCT(H97:K97)</f>
        <v>0.002976190476190476</v>
      </c>
      <c r="M97" s="17">
        <f>G97*L97</f>
        <v>0.02782738095238095</v>
      </c>
      <c r="N97" s="17">
        <f>IF(K97=0,H97*I97,L97)</f>
        <v>0.002976190476190476</v>
      </c>
      <c r="O97" s="17">
        <f>G97*N97</f>
        <v>0.02782738095238095</v>
      </c>
      <c r="P97" s="15" t="n"/>
      <c r="Q97" s="15" t="inlineStr">
        <is>
          <t>8月</t>
        </is>
      </c>
      <c r="R97" s="15" t="inlineStr">
        <is>
          <t>商务简餐</t>
        </is>
      </c>
      <c r="S97" s="17" t="n">
        <v>9.76</v>
      </c>
      <c r="T97" s="17">
        <f>SUMIFS($M$2:$M$383,$A$2:$A$383,Q97,$C$2:$C$383,R97)/V97</f>
        <v>9.760000000000002</v>
      </c>
      <c r="U97" s="17">
        <f>S97-T97</f>
        <v>-1.7763568394002505e-15</v>
      </c>
      <c r="V97" s="17" t="n">
        <v>0.008333333333333333</v>
      </c>
      <c r="W97" s="17">
        <f>S97*V97</f>
        <v>0.08133333333333333</v>
      </c>
      <c r="X97" s="17">
        <f>U97*V97</f>
        <v>-1.4802973661668754e-17</v>
      </c>
    </row>
    <row r="98">
      <c r="A98" s="15" t="inlineStr">
        <is>
          <t>4月</t>
        </is>
      </c>
      <c r="B98" s="15" t="inlineStr">
        <is>
          <t>一、会展客户</t>
        </is>
      </c>
      <c r="C98" s="15" t="inlineStr">
        <is>
          <t>参展商</t>
        </is>
      </c>
      <c r="D98" s="15" t="inlineStr">
        <is>
          <t>配套服务子项</t>
        </is>
      </c>
      <c r="E98" s="15" t="inlineStr">
        <is>
          <t>其中：餐饮服务</t>
        </is>
      </c>
      <c r="F98" s="15" t="inlineStr">
        <is>
          <t>餐饮服务</t>
        </is>
      </c>
      <c r="G98" s="17" t="n">
        <v>8.4</v>
      </c>
      <c r="H98" s="17" t="n">
        <v>0.125</v>
      </c>
      <c r="I98" s="17" t="n">
        <v>0.07142857142857142</v>
      </c>
      <c r="J98" s="17" t="n">
        <v>1</v>
      </c>
      <c r="K98" s="17" t="n">
        <v>0</v>
      </c>
      <c r="L98" s="17">
        <f>PRODUCT(H98:K98)</f>
        <v>0.0</v>
      </c>
      <c r="M98" s="17">
        <f>G98*L98</f>
        <v>0.0</v>
      </c>
      <c r="N98" s="17">
        <f>IF(K98=0,H98*I98,L98)</f>
        <v>0.008928571428571428</v>
      </c>
      <c r="O98" s="17">
        <f>G98*N98</f>
        <v>0.075</v>
      </c>
      <c r="P98" s="15" t="n"/>
      <c r="Q98" s="15" t="inlineStr">
        <is>
          <t>8月</t>
        </is>
      </c>
      <c r="R98" s="15" t="inlineStr">
        <is>
          <t>特色美食廊</t>
        </is>
      </c>
      <c r="S98" s="17" t="n">
        <v>9.68</v>
      </c>
      <c r="T98" s="17">
        <f>SUMIFS($M$2:$M$383,$A$2:$A$383,Q98,$C$2:$C$383,R98)/V98</f>
        <v>9.675</v>
      </c>
      <c r="U98" s="17">
        <f>S98-T98</f>
        <v>0.004999999999999005</v>
      </c>
      <c r="V98" s="17" t="n">
        <v>0.008333333333333333</v>
      </c>
      <c r="W98" s="17">
        <f>S98*V98</f>
        <v>0.08066666666666666</v>
      </c>
      <c r="X98" s="17">
        <f>U98*V98</f>
        <v>4.166666666665838e-05</v>
      </c>
    </row>
    <row r="99">
      <c r="A99" s="15" t="inlineStr">
        <is>
          <t>4月</t>
        </is>
      </c>
      <c r="B99" s="15" t="inlineStr">
        <is>
          <t>一、会展客户</t>
        </is>
      </c>
      <c r="C99" s="15" t="inlineStr">
        <is>
          <t>专业观众</t>
        </is>
      </c>
      <c r="D99" s="15" t="inlineStr">
        <is>
          <t>专业观众</t>
        </is>
      </c>
      <c r="E99" s="15" t="inlineStr">
        <is>
          <t>会展服务</t>
        </is>
      </c>
      <c r="F99" s="15" t="inlineStr">
        <is>
          <t>产品服务</t>
        </is>
      </c>
      <c r="G99" s="17" t="n">
        <v>10</v>
      </c>
      <c r="H99" s="17" t="n">
        <v>0.125</v>
      </c>
      <c r="I99" s="17" t="n">
        <v>0.07142857142857142</v>
      </c>
      <c r="J99" s="17" t="n">
        <v>1</v>
      </c>
      <c r="K99" s="17" t="n">
        <v>0.3333333333333333</v>
      </c>
      <c r="L99" s="17">
        <f>PRODUCT(H99:K99)</f>
        <v>0.002976190476190476</v>
      </c>
      <c r="M99" s="17">
        <f>G99*L99</f>
        <v>0.02976190476190476</v>
      </c>
      <c r="N99" s="17">
        <f>IF(K99=0,H99*I99,L99)</f>
        <v>0.002976190476190476</v>
      </c>
      <c r="O99" s="17">
        <f>G99*N99</f>
        <v>0.02976190476190476</v>
      </c>
      <c r="P99" s="15" t="n"/>
      <c r="Q99" s="15" t="inlineStr">
        <is>
          <t>8月</t>
        </is>
      </c>
      <c r="R99" s="15" t="inlineStr">
        <is>
          <t>自助餐</t>
        </is>
      </c>
      <c r="S99" s="17" t="n">
        <v>9.09</v>
      </c>
      <c r="T99" s="17">
        <f>SUMIFS($M$2:$M$383,$A$2:$A$383,Q99,$C$2:$C$383,R99)/V99</f>
        <v>9.084999999999999</v>
      </c>
      <c r="U99" s="17">
        <f>S99-T99</f>
        <v>0.005000000000000782</v>
      </c>
      <c r="V99" s="17" t="n">
        <v>0.008333333333333333</v>
      </c>
      <c r="W99" s="17">
        <f>S99*V99</f>
        <v>0.07575</v>
      </c>
      <c r="X99" s="17">
        <f>U99*V99</f>
        <v>4.166666666667318e-05</v>
      </c>
    </row>
    <row r="100">
      <c r="A100" s="15" t="inlineStr">
        <is>
          <t>4月</t>
        </is>
      </c>
      <c r="B100" s="15" t="inlineStr">
        <is>
          <t>一、会展客户</t>
        </is>
      </c>
      <c r="C100" s="15" t="inlineStr">
        <is>
          <t>专业观众</t>
        </is>
      </c>
      <c r="D100" s="15" t="inlineStr">
        <is>
          <t>专业观众</t>
        </is>
      </c>
      <c r="E100" s="15" t="inlineStr">
        <is>
          <t>硬件设施</t>
        </is>
      </c>
      <c r="F100" s="15" t="inlineStr">
        <is>
          <t>硬件设施</t>
        </is>
      </c>
      <c r="G100" s="17" t="n">
        <v>9.25</v>
      </c>
      <c r="H100" s="17" t="n">
        <v>0.125</v>
      </c>
      <c r="I100" s="17" t="n">
        <v>0.07142857142857142</v>
      </c>
      <c r="J100" s="17" t="n">
        <v>1</v>
      </c>
      <c r="K100" s="17" t="n">
        <v>0.3333333333333333</v>
      </c>
      <c r="L100" s="17">
        <f>PRODUCT(H100:K100)</f>
        <v>0.002976190476190476</v>
      </c>
      <c r="M100" s="17">
        <f>G100*L100</f>
        <v>0.027529761904761904</v>
      </c>
      <c r="N100" s="17">
        <f>IF(K100=0,H100*I100,L100)</f>
        <v>0.002976190476190476</v>
      </c>
      <c r="O100" s="17">
        <f>G100*N100</f>
        <v>0.027529761904761904</v>
      </c>
      <c r="P100" s="15" t="n"/>
      <c r="Q100" s="15" t="inlineStr">
        <is>
          <t>8月</t>
        </is>
      </c>
      <c r="R100" s="15" t="inlineStr">
        <is>
          <t>游客</t>
        </is>
      </c>
      <c r="S100" s="17" t="n">
        <v>9.98</v>
      </c>
      <c r="T100" s="17">
        <f>SUMIFS($M$2:$M$383,$A$2:$A$383,Q100,$C$2:$C$383,R100)/V100</f>
        <v>9.975000000000001</v>
      </c>
      <c r="U100" s="17">
        <f>S100-T100</f>
        <v>0.004999999999999005</v>
      </c>
      <c r="V100" s="17" t="n">
        <v>0.008333333333333333</v>
      </c>
      <c r="W100" s="17">
        <f>S100*V100</f>
        <v>0.08316666666666667</v>
      </c>
      <c r="X100" s="17">
        <f>U100*V100</f>
        <v>4.166666666665838e-05</v>
      </c>
    </row>
    <row r="101">
      <c r="A101" s="15" t="inlineStr">
        <is>
          <t>4月</t>
        </is>
      </c>
      <c r="B101" s="15" t="inlineStr">
        <is>
          <t>一、会展客户</t>
        </is>
      </c>
      <c r="C101" s="15" t="inlineStr">
        <is>
          <t>专业观众</t>
        </is>
      </c>
      <c r="D101" s="15" t="inlineStr">
        <is>
          <t>专业观众</t>
        </is>
      </c>
      <c r="E101" s="15" t="inlineStr">
        <is>
          <t>配套服务</t>
        </is>
      </c>
      <c r="F101" s="15" t="inlineStr">
        <is>
          <t>配套服务</t>
        </is>
      </c>
      <c r="G101" s="17" t="n">
        <v>9.5</v>
      </c>
      <c r="H101" s="17" t="n">
        <v>0.125</v>
      </c>
      <c r="I101" s="17" t="n">
        <v>0.07142857142857142</v>
      </c>
      <c r="J101" s="17" t="n">
        <v>1</v>
      </c>
      <c r="K101" s="17" t="n">
        <v>0.3333333333333333</v>
      </c>
      <c r="L101" s="17">
        <f>PRODUCT(H101:K101)</f>
        <v>0.002976190476190476</v>
      </c>
      <c r="M101" s="17">
        <f>G101*L101</f>
        <v>0.02827380952380952</v>
      </c>
      <c r="N101" s="17">
        <f>IF(K101=0,H101*I101,L101)</f>
        <v>0.002976190476190476</v>
      </c>
      <c r="O101" s="17">
        <f>G101*N101</f>
        <v>0.02827380952380952</v>
      </c>
      <c r="P101" s="15" t="n"/>
      <c r="Q101" s="15" t="inlineStr">
        <is>
          <t>8月</t>
        </is>
      </c>
      <c r="R101" s="15" t="inlineStr">
        <is>
          <t>旅行社工作人员</t>
        </is>
      </c>
      <c r="S101" s="17" t="n">
        <v>10</v>
      </c>
      <c r="T101" s="17">
        <f>SUMIFS($M$2:$M$383,$A$2:$A$383,Q101,$C$2:$C$383,R101)/V101</f>
        <v>10.0</v>
      </c>
      <c r="U101" s="17">
        <f>S101-T101</f>
        <v>0.0</v>
      </c>
      <c r="V101" s="17" t="n">
        <v>0.008333333333333333</v>
      </c>
      <c r="W101" s="17">
        <f>S101*V101</f>
        <v>0.08333333333333333</v>
      </c>
      <c r="X101" s="17">
        <f>U101*V101</f>
        <v>0.0</v>
      </c>
    </row>
    <row r="102">
      <c r="A102" s="15" t="inlineStr">
        <is>
          <t>4月</t>
        </is>
      </c>
      <c r="B102" s="15" t="inlineStr">
        <is>
          <t>一、会展客户</t>
        </is>
      </c>
      <c r="C102" s="15" t="inlineStr">
        <is>
          <t>专业观众</t>
        </is>
      </c>
      <c r="D102" s="15" t="inlineStr">
        <is>
          <t>配套服务子项</t>
        </is>
      </c>
      <c r="E102" s="15" t="inlineStr">
        <is>
          <t>其中：餐饮服务</t>
        </is>
      </c>
      <c r="F102" s="15" t="inlineStr">
        <is>
          <t>餐饮服务</t>
        </is>
      </c>
      <c r="G102" s="17" t="n">
        <v>8</v>
      </c>
      <c r="H102" s="17" t="n">
        <v>0.125</v>
      </c>
      <c r="I102" s="17" t="n">
        <v>0.07142857142857142</v>
      </c>
      <c r="J102" s="17" t="n">
        <v>1</v>
      </c>
      <c r="K102" s="17" t="n">
        <v>0</v>
      </c>
      <c r="L102" s="17">
        <f>PRODUCT(H102:K102)</f>
        <v>0.0</v>
      </c>
      <c r="M102" s="17">
        <f>G102*L102</f>
        <v>0.0</v>
      </c>
      <c r="N102" s="17">
        <f>IF(K102=0,H102*I102,L102)</f>
        <v>0.008928571428571428</v>
      </c>
      <c r="O102" s="17">
        <f>G102*N102</f>
        <v>0.07142857142857142</v>
      </c>
      <c r="P102" s="15" t="n"/>
      <c r="Q102" s="15" t="inlineStr">
        <is>
          <t>8月</t>
        </is>
      </c>
      <c r="R102" s="15" t="inlineStr">
        <is>
          <t>酒店散客</t>
        </is>
      </c>
      <c r="S102" s="17" t="n">
        <v>9.91</v>
      </c>
      <c r="T102" s="17">
        <f>SUMIFS($M$2:$M$383,$A$2:$A$383,Q102,$C$2:$C$383,R102)/V102</f>
        <v>9.906666666666666</v>
      </c>
      <c r="U102" s="17">
        <f>S102-T102</f>
        <v>0.0033333333333338544</v>
      </c>
      <c r="V102" s="17" t="n">
        <v>0.008333333333333333</v>
      </c>
      <c r="W102" s="17">
        <f>S102*V102</f>
        <v>0.08258333333333333</v>
      </c>
      <c r="X102" s="17">
        <f>U102*V102</f>
        <v>2.777777777778212e-05</v>
      </c>
    </row>
    <row r="103">
      <c r="A103" s="15" t="inlineStr">
        <is>
          <t>4月</t>
        </is>
      </c>
      <c r="B103" s="15" t="inlineStr">
        <is>
          <t>一、会展客户</t>
        </is>
      </c>
      <c r="C103" s="15" t="inlineStr">
        <is>
          <t>会展服务商</t>
        </is>
      </c>
      <c r="D103" s="15" t="inlineStr">
        <is>
          <t>会展服务商</t>
        </is>
      </c>
      <c r="E103" s="15" t="inlineStr">
        <is>
          <t>会展服务</t>
        </is>
      </c>
      <c r="F103" s="15" t="inlineStr">
        <is>
          <t>产品服务</t>
        </is>
      </c>
      <c r="G103" s="17" t="n">
        <v>9.92</v>
      </c>
      <c r="H103" s="17" t="n">
        <v>0.125</v>
      </c>
      <c r="I103" s="17" t="n">
        <v>0.07142857142857142</v>
      </c>
      <c r="J103" s="17" t="n">
        <v>1</v>
      </c>
      <c r="K103" s="17" t="n">
        <v>0.3333333333333333</v>
      </c>
      <c r="L103" s="17">
        <f>PRODUCT(H103:K103)</f>
        <v>0.002976190476190476</v>
      </c>
      <c r="M103" s="17">
        <f>G103*L103</f>
        <v>0.02952380952380952</v>
      </c>
      <c r="N103" s="17">
        <f>IF(K103=0,H103*I103,L103)</f>
        <v>0.002976190476190476</v>
      </c>
      <c r="O103" s="17">
        <f>G103*N103</f>
        <v>0.02952380952380952</v>
      </c>
      <c r="P103" s="15" t="n"/>
      <c r="Q103" s="15" t="inlineStr">
        <is>
          <t>8月</t>
        </is>
      </c>
      <c r="R103" s="15" t="inlineStr">
        <is>
          <t>酒店住宿团队</t>
        </is>
      </c>
      <c r="S103" s="17" t="n">
        <v>9.57</v>
      </c>
      <c r="T103" s="17">
        <f>SUMIFS($M$2:$M$383,$A$2:$A$383,Q103,$C$2:$C$383,R103)/V103</f>
        <v>9.569999999999999</v>
      </c>
      <c r="U103" s="17">
        <f>S103-T103</f>
        <v>1.7763568394002505e-15</v>
      </c>
      <c r="V103" s="17" t="n">
        <v>0.008333333333333333</v>
      </c>
      <c r="W103" s="17">
        <f>S103*V103</f>
        <v>0.07975</v>
      </c>
      <c r="X103" s="17">
        <f>U103*V103</f>
        <v>1.4802973661668754e-17</v>
      </c>
    </row>
    <row r="104">
      <c r="A104" s="15" t="inlineStr">
        <is>
          <t>4月</t>
        </is>
      </c>
      <c r="B104" s="15" t="inlineStr">
        <is>
          <t>一、会展客户</t>
        </is>
      </c>
      <c r="C104" s="15" t="inlineStr">
        <is>
          <t>会展服务商</t>
        </is>
      </c>
      <c r="D104" s="15" t="inlineStr">
        <is>
          <t>会展服务商</t>
        </is>
      </c>
      <c r="E104" s="15" t="inlineStr">
        <is>
          <t>硬件设施</t>
        </is>
      </c>
      <c r="F104" s="15" t="inlineStr">
        <is>
          <t>硬件设施</t>
        </is>
      </c>
      <c r="G104" s="17" t="n">
        <v>9.779999999999999</v>
      </c>
      <c r="H104" s="17" t="n">
        <v>0.125</v>
      </c>
      <c r="I104" s="17" t="n">
        <v>0.07142857142857142</v>
      </c>
      <c r="J104" s="17" t="n">
        <v>1</v>
      </c>
      <c r="K104" s="17" t="n">
        <v>0.3333333333333333</v>
      </c>
      <c r="L104" s="17">
        <f>PRODUCT(H104:K104)</f>
        <v>0.002976190476190476</v>
      </c>
      <c r="M104" s="17">
        <f>G104*L104</f>
        <v>0.029107142857142852</v>
      </c>
      <c r="N104" s="17">
        <f>IF(K104=0,H104*I104,L104)</f>
        <v>0.002976190476190476</v>
      </c>
      <c r="O104" s="17">
        <f>G104*N104</f>
        <v>0.029107142857142852</v>
      </c>
      <c r="P104" s="15" t="n"/>
      <c r="Q104" s="15" t="inlineStr">
        <is>
          <t>8月</t>
        </is>
      </c>
      <c r="R104" s="15" t="inlineStr">
        <is>
          <t>酒店参会客户</t>
        </is>
      </c>
      <c r="S104" s="17" t="n">
        <v>9.94</v>
      </c>
      <c r="T104" s="17">
        <f>SUMIFS($M$2:$M$383,$A$2:$A$383,Q104,$C$2:$C$383,R104)/V104</f>
        <v>9.943333333333333</v>
      </c>
      <c r="U104" s="17">
        <f>S104-T104</f>
        <v>-0.0033333333333338544</v>
      </c>
      <c r="V104" s="17" t="n">
        <v>0.008333333333333333</v>
      </c>
      <c r="W104" s="17">
        <f>S104*V104</f>
        <v>0.08283333333333333</v>
      </c>
      <c r="X104" s="17">
        <f>U104*V104</f>
        <v>-2.777777777778212e-05</v>
      </c>
    </row>
    <row r="105">
      <c r="A105" s="15" t="inlineStr">
        <is>
          <t>4月</t>
        </is>
      </c>
      <c r="B105" s="15" t="inlineStr">
        <is>
          <t>一、会展客户</t>
        </is>
      </c>
      <c r="C105" s="15" t="inlineStr">
        <is>
          <t>会展服务商</t>
        </is>
      </c>
      <c r="D105" s="15" t="inlineStr">
        <is>
          <t>会展服务商</t>
        </is>
      </c>
      <c r="E105" s="15" t="inlineStr">
        <is>
          <t>配套服务</t>
        </is>
      </c>
      <c r="F105" s="15" t="inlineStr">
        <is>
          <t>配套服务</t>
        </is>
      </c>
      <c r="G105" s="17" t="n">
        <v>10</v>
      </c>
      <c r="H105" s="17" t="n">
        <v>0.125</v>
      </c>
      <c r="I105" s="17" t="n">
        <v>0.07142857142857142</v>
      </c>
      <c r="J105" s="17" t="n">
        <v>1</v>
      </c>
      <c r="K105" s="17" t="n">
        <v>0.3333333333333333</v>
      </c>
      <c r="L105" s="17">
        <f>PRODUCT(H105:K105)</f>
        <v>0.002976190476190476</v>
      </c>
      <c r="M105" s="17">
        <f>G105*L105</f>
        <v>0.02976190476190476</v>
      </c>
      <c r="N105" s="17">
        <f>IF(K105=0,H105*I105,L105)</f>
        <v>0.002976190476190476</v>
      </c>
      <c r="O105" s="17">
        <f>G105*N105</f>
        <v>0.02976190476190476</v>
      </c>
      <c r="P105" s="15" t="n"/>
      <c r="Q105" s="15" t="inlineStr">
        <is>
          <t>8月</t>
        </is>
      </c>
      <c r="R105" s="15" t="inlineStr">
        <is>
          <t>酒店餐饮客户</t>
        </is>
      </c>
      <c r="S105" s="17" t="n">
        <v>9.970000000000001</v>
      </c>
      <c r="T105" s="17">
        <f>SUMIFS($M$2:$M$383,$A$2:$A$383,Q105,$C$2:$C$383,R105)/V105</f>
        <v>9.969999999999999</v>
      </c>
      <c r="U105" s="17">
        <f>S105-T105</f>
        <v>1.7763568394002505e-15</v>
      </c>
      <c r="V105" s="17" t="n">
        <v>0.008333333333333333</v>
      </c>
      <c r="W105" s="17">
        <f>S105*V105</f>
        <v>0.08308333333333334</v>
      </c>
      <c r="X105" s="17">
        <f>U105*V105</f>
        <v>1.4802973661668754e-17</v>
      </c>
    </row>
    <row r="106">
      <c r="A106" s="15" t="inlineStr">
        <is>
          <t>4月</t>
        </is>
      </c>
      <c r="B106" s="15" t="inlineStr">
        <is>
          <t>一、会展客户</t>
        </is>
      </c>
      <c r="C106" s="15" t="inlineStr">
        <is>
          <t>会展服务商</t>
        </is>
      </c>
      <c r="D106" s="15" t="inlineStr">
        <is>
          <t>配套服务子项</t>
        </is>
      </c>
      <c r="E106" s="15" t="inlineStr">
        <is>
          <t>其中：餐饮服务</t>
        </is>
      </c>
      <c r="F106" s="15" t="inlineStr">
        <is>
          <t>餐饮服务</t>
        </is>
      </c>
      <c r="G106" s="17" t="n">
        <v>10</v>
      </c>
      <c r="H106" s="17" t="n">
        <v>0.125</v>
      </c>
      <c r="I106" s="17" t="n">
        <v>0.07142857142857142</v>
      </c>
      <c r="J106" s="17" t="n">
        <v>1</v>
      </c>
      <c r="K106" s="17" t="n">
        <v>0</v>
      </c>
      <c r="L106" s="17">
        <f>PRODUCT(H106:K106)</f>
        <v>0.0</v>
      </c>
      <c r="M106" s="17">
        <f>G106*L106</f>
        <v>0.0</v>
      </c>
      <c r="N106" s="17">
        <f>IF(K106=0,H106*I106,L106)</f>
        <v>0.008928571428571428</v>
      </c>
      <c r="O106" s="17">
        <f>G106*N106</f>
        <v>0.08928571428571427</v>
      </c>
      <c r="P106" s="15" t="n"/>
      <c r="Q106" s="15" t="inlineStr">
        <is>
          <t>9月</t>
        </is>
      </c>
      <c r="R106" s="15" t="inlineStr">
        <is>
          <t>展览活动主（承）办</t>
        </is>
      </c>
      <c r="S106" s="17" t="n">
        <v>9.4</v>
      </c>
      <c r="T106" s="17">
        <f>SUMIFS($M$2:$M$383,$A$2:$A$383,Q106,$C$2:$C$383,R106)/V106</f>
        <v>9.396666666666667</v>
      </c>
      <c r="U106" s="17">
        <f>S106-T106</f>
        <v>0.0033333333333338544</v>
      </c>
      <c r="V106" s="17" t="n">
        <v>0.008928571428571428</v>
      </c>
      <c r="W106" s="17">
        <f>S106*V106</f>
        <v>0.08392857142857142</v>
      </c>
      <c r="X106" s="17">
        <f>U106*V106</f>
        <v>2.9761904761909414e-05</v>
      </c>
    </row>
    <row r="107">
      <c r="A107" s="15" t="inlineStr">
        <is>
          <t>4月</t>
        </is>
      </c>
      <c r="B107" s="15" t="inlineStr">
        <is>
          <t>一、会展客户</t>
        </is>
      </c>
      <c r="C107" s="15" t="inlineStr">
        <is>
          <t>会议活动主（承）办</t>
        </is>
      </c>
      <c r="D107" s="15" t="inlineStr">
        <is>
          <t>会议主承办</t>
        </is>
      </c>
      <c r="E107" s="15" t="inlineStr">
        <is>
          <t>会展服务</t>
        </is>
      </c>
      <c r="F107" s="15" t="inlineStr">
        <is>
          <t>产品服务</t>
        </is>
      </c>
      <c r="G107" s="17" t="n">
        <v>10</v>
      </c>
      <c r="H107" s="17" t="n">
        <v>0.125</v>
      </c>
      <c r="I107" s="17" t="n">
        <v>0.07142857142857142</v>
      </c>
      <c r="J107" s="17" t="n">
        <v>1</v>
      </c>
      <c r="K107" s="17" t="n">
        <v>0.3333333333333333</v>
      </c>
      <c r="L107" s="17">
        <f>PRODUCT(H107:K107)</f>
        <v>0.002976190476190476</v>
      </c>
      <c r="M107" s="17">
        <f>G107*L107</f>
        <v>0.02976190476190476</v>
      </c>
      <c r="N107" s="17">
        <f>IF(K107=0,H107*I107,L107)</f>
        <v>0.002976190476190476</v>
      </c>
      <c r="O107" s="17">
        <f>G107*N107</f>
        <v>0.02976190476190476</v>
      </c>
      <c r="P107" s="15" t="n"/>
      <c r="Q107" s="15" t="inlineStr">
        <is>
          <t>9月</t>
        </is>
      </c>
      <c r="R107" s="15" t="inlineStr">
        <is>
          <t>参展商</t>
        </is>
      </c>
      <c r="S107" s="17" t="n">
        <v>9.59</v>
      </c>
      <c r="T107" s="17">
        <f>SUMIFS($M$2:$M$383,$A$2:$A$383,Q107,$C$2:$C$383,R107)/V107</f>
        <v>9.592500000000001</v>
      </c>
      <c r="U107" s="17">
        <f>S107-T107</f>
        <v>-0.002500000000001279</v>
      </c>
      <c r="V107" s="17" t="n">
        <v>0.008928571428571428</v>
      </c>
      <c r="W107" s="17">
        <f>S107*V107</f>
        <v>0.08562499999999999</v>
      </c>
      <c r="X107" s="17">
        <f>U107*V107</f>
        <v>-2.232142857143999e-05</v>
      </c>
    </row>
    <row r="108">
      <c r="A108" s="15" t="inlineStr">
        <is>
          <t>4月</t>
        </is>
      </c>
      <c r="B108" s="15" t="inlineStr">
        <is>
          <t>一、会展客户</t>
        </is>
      </c>
      <c r="C108" s="15" t="inlineStr">
        <is>
          <t>会议活动主（承）办</t>
        </is>
      </c>
      <c r="D108" s="15" t="inlineStr">
        <is>
          <t>会议主承办</t>
        </is>
      </c>
      <c r="E108" s="15" t="inlineStr">
        <is>
          <t>硬件设施</t>
        </is>
      </c>
      <c r="F108" s="15" t="inlineStr">
        <is>
          <t>硬件设施</t>
        </is>
      </c>
      <c r="G108" s="17" t="n">
        <v>9.34</v>
      </c>
      <c r="H108" s="17" t="n">
        <v>0.125</v>
      </c>
      <c r="I108" s="17" t="n">
        <v>0.07142857142857142</v>
      </c>
      <c r="J108" s="17" t="n">
        <v>1</v>
      </c>
      <c r="K108" s="17" t="n">
        <v>0.3333333333333333</v>
      </c>
      <c r="L108" s="17">
        <f>PRODUCT(H108:K108)</f>
        <v>0.002976190476190476</v>
      </c>
      <c r="M108" s="17">
        <f>G108*L108</f>
        <v>0.027797619047619047</v>
      </c>
      <c r="N108" s="17">
        <f>IF(K108=0,H108*I108,L108)</f>
        <v>0.002976190476190476</v>
      </c>
      <c r="O108" s="17">
        <f>G108*N108</f>
        <v>0.027797619047619047</v>
      </c>
      <c r="P108" s="15" t="n"/>
      <c r="Q108" s="15" t="inlineStr">
        <is>
          <t>9月</t>
        </is>
      </c>
      <c r="R108" s="15" t="inlineStr">
        <is>
          <t>专业观众</t>
        </is>
      </c>
      <c r="S108" s="17" t="n">
        <v>9.699999999999999</v>
      </c>
      <c r="T108" s="17">
        <f>SUMIFS($M$2:$M$383,$A$2:$A$383,Q108,$C$2:$C$383,R108)/V108</f>
        <v>9.703333333333333</v>
      </c>
      <c r="U108" s="17">
        <f>S108-T108</f>
        <v>-0.0033333333333338544</v>
      </c>
      <c r="V108" s="17" t="n">
        <v>0.008928571428571428</v>
      </c>
      <c r="W108" s="17">
        <f>S108*V108</f>
        <v>0.08660714285714284</v>
      </c>
      <c r="X108" s="17">
        <f>U108*V108</f>
        <v>-2.9761904761909414e-05</v>
      </c>
    </row>
    <row r="109">
      <c r="A109" s="15" t="inlineStr">
        <is>
          <t>4月</t>
        </is>
      </c>
      <c r="B109" s="15" t="inlineStr">
        <is>
          <t>一、会展客户</t>
        </is>
      </c>
      <c r="C109" s="15" t="inlineStr">
        <is>
          <t>会议活动主（承）办</t>
        </is>
      </c>
      <c r="D109" s="15" t="inlineStr">
        <is>
          <t>会议主承办</t>
        </is>
      </c>
      <c r="E109" s="15" t="inlineStr">
        <is>
          <t>配套服务</t>
        </is>
      </c>
      <c r="F109" s="15" t="inlineStr">
        <is>
          <t>配套服务</t>
        </is>
      </c>
      <c r="G109" s="17" t="n">
        <v>9.880000000000001</v>
      </c>
      <c r="H109" s="17" t="n">
        <v>0.125</v>
      </c>
      <c r="I109" s="17" t="n">
        <v>0.07142857142857142</v>
      </c>
      <c r="J109" s="17" t="n">
        <v>1</v>
      </c>
      <c r="K109" s="17" t="n">
        <v>0.3333333333333333</v>
      </c>
      <c r="L109" s="17">
        <f>PRODUCT(H109:K109)</f>
        <v>0.002976190476190476</v>
      </c>
      <c r="M109" s="17">
        <f>G109*L109</f>
        <v>0.029404761904761906</v>
      </c>
      <c r="N109" s="17">
        <f>IF(K109=0,H109*I109,L109)</f>
        <v>0.002976190476190476</v>
      </c>
      <c r="O109" s="17">
        <f>G109*N109</f>
        <v>0.029404761904761906</v>
      </c>
      <c r="P109" s="15" t="n"/>
      <c r="Q109" s="15" t="inlineStr">
        <is>
          <t>9月</t>
        </is>
      </c>
      <c r="R109" s="15" t="inlineStr">
        <is>
          <t>会展服务商</t>
        </is>
      </c>
      <c r="S109" s="17" t="n">
        <v>9.77</v>
      </c>
      <c r="T109" s="17">
        <f>SUMIFS($M$2:$M$383,$A$2:$A$383,Q109,$C$2:$C$383,R109)/V109</f>
        <v>9.772499999999999</v>
      </c>
      <c r="U109" s="17">
        <f>S109-T109</f>
        <v>-0.0024999999999995026</v>
      </c>
      <c r="V109" s="17" t="n">
        <v>0.008928571428571428</v>
      </c>
      <c r="W109" s="17">
        <f>S109*V109</f>
        <v>0.08723214285714286</v>
      </c>
      <c r="X109" s="17">
        <f>U109*V109</f>
        <v>-2.232142857142413e-05</v>
      </c>
    </row>
    <row r="110">
      <c r="A110" s="15" t="inlineStr">
        <is>
          <t>4月</t>
        </is>
      </c>
      <c r="B110" s="15" t="inlineStr">
        <is>
          <t>一、会展客户</t>
        </is>
      </c>
      <c r="C110" s="15" t="inlineStr">
        <is>
          <t>会议活动主（承）办</t>
        </is>
      </c>
      <c r="D110" s="15" t="inlineStr">
        <is>
          <t>配套服务子项</t>
        </is>
      </c>
      <c r="E110" s="15" t="inlineStr">
        <is>
          <t>其中：餐饮服务</t>
        </is>
      </c>
      <c r="F110" s="15" t="inlineStr">
        <is>
          <t>餐饮服务</t>
        </is>
      </c>
      <c r="G110" s="17" t="n">
        <v>9.5</v>
      </c>
      <c r="H110" s="17" t="n">
        <v>0.125</v>
      </c>
      <c r="I110" s="17" t="n">
        <v>0.07142857142857142</v>
      </c>
      <c r="J110" s="17" t="n">
        <v>1</v>
      </c>
      <c r="K110" s="17" t="n">
        <v>0</v>
      </c>
      <c r="L110" s="17">
        <f>PRODUCT(H110:K110)</f>
        <v>0.0</v>
      </c>
      <c r="M110" s="17">
        <f>G110*L110</f>
        <v>0.0</v>
      </c>
      <c r="N110" s="17">
        <f>IF(K110=0,H110*I110,L110)</f>
        <v>0.008928571428571428</v>
      </c>
      <c r="O110" s="17">
        <f>G110*N110</f>
        <v>0.08482142857142856</v>
      </c>
      <c r="P110" s="15" t="n"/>
      <c r="Q110" s="15" t="inlineStr">
        <is>
          <t>9月</t>
        </is>
      </c>
      <c r="R110" s="15" t="inlineStr">
        <is>
          <t>会议活动主（承）办</t>
        </is>
      </c>
      <c r="S110" s="17" t="n">
        <v>9.85</v>
      </c>
      <c r="T110" s="17">
        <f>SUMIFS($M$2:$M$383,$A$2:$A$383,Q110,$C$2:$C$383,R110)/V110</f>
        <v>9.853333333333333</v>
      </c>
      <c r="U110" s="17">
        <f>S110-T110</f>
        <v>-0.0033333333333338544</v>
      </c>
      <c r="V110" s="17" t="n">
        <v>0.008928571428571428</v>
      </c>
      <c r="W110" s="17">
        <f>S110*V110</f>
        <v>0.08794642857142856</v>
      </c>
      <c r="X110" s="17">
        <f>U110*V110</f>
        <v>-2.9761904761909414e-05</v>
      </c>
    </row>
    <row r="111">
      <c r="A111" s="15" t="inlineStr">
        <is>
          <t>4月</t>
        </is>
      </c>
      <c r="B111" s="15" t="inlineStr">
        <is>
          <t>一、会展客户</t>
        </is>
      </c>
      <c r="C111" s="15" t="inlineStr">
        <is>
          <t>参会客户</t>
        </is>
      </c>
      <c r="D111" s="15" t="inlineStr">
        <is>
          <t>参会人员</t>
        </is>
      </c>
      <c r="E111" s="15" t="inlineStr">
        <is>
          <t>会展服务</t>
        </is>
      </c>
      <c r="F111" s="15" t="inlineStr">
        <is>
          <t>产品服务</t>
        </is>
      </c>
      <c r="G111" s="17" t="n">
        <v>9.970000000000001</v>
      </c>
      <c r="H111" s="17" t="n">
        <v>0.125</v>
      </c>
      <c r="I111" s="17" t="n">
        <v>0.07142857142857142</v>
      </c>
      <c r="J111" s="17" t="n">
        <v>1</v>
      </c>
      <c r="K111" s="17" t="n">
        <v>0.3333333333333333</v>
      </c>
      <c r="L111" s="17">
        <f>PRODUCT(H111:K111)</f>
        <v>0.002976190476190476</v>
      </c>
      <c r="M111" s="17">
        <f>G111*L111</f>
        <v>0.02967261904761905</v>
      </c>
      <c r="N111" s="17">
        <f>IF(K111=0,H111*I111,L111)</f>
        <v>0.002976190476190476</v>
      </c>
      <c r="O111" s="17">
        <f>G111*N111</f>
        <v>0.02967261904761905</v>
      </c>
      <c r="P111" s="15" t="n"/>
      <c r="Q111" s="15" t="inlineStr">
        <is>
          <t>9月</t>
        </is>
      </c>
      <c r="R111" s="15" t="inlineStr">
        <is>
          <t>商务简餐</t>
        </is>
      </c>
      <c r="S111" s="17" t="n">
        <v>9.69</v>
      </c>
      <c r="T111" s="17">
        <f>SUMIFS($M$2:$M$383,$A$2:$A$383,Q111,$C$2:$C$383,R111)/V111</f>
        <v>9.690000000000001</v>
      </c>
      <c r="U111" s="17">
        <f>S111-T111</f>
        <v>-1.7763568394002505e-15</v>
      </c>
      <c r="V111" s="17" t="n">
        <v>0.008928571428571428</v>
      </c>
      <c r="W111" s="17">
        <f>S111*V111</f>
        <v>0.08651785714285713</v>
      </c>
      <c r="X111" s="17">
        <f>U111*V111</f>
        <v>-1.586032892321652e-17</v>
      </c>
    </row>
    <row r="112">
      <c r="A112" s="15" t="inlineStr">
        <is>
          <t>4月</t>
        </is>
      </c>
      <c r="B112" s="15" t="inlineStr">
        <is>
          <t>一、会展客户</t>
        </is>
      </c>
      <c r="C112" s="15" t="inlineStr">
        <is>
          <t>参会客户</t>
        </is>
      </c>
      <c r="D112" s="15" t="inlineStr">
        <is>
          <t>参会人员</t>
        </is>
      </c>
      <c r="E112" s="15" t="inlineStr">
        <is>
          <t>硬件设施</t>
        </is>
      </c>
      <c r="F112" s="15" t="inlineStr">
        <is>
          <t>硬件设施</t>
        </is>
      </c>
      <c r="G112" s="17" t="n">
        <v>9.34</v>
      </c>
      <c r="H112" s="17" t="n">
        <v>0.125</v>
      </c>
      <c r="I112" s="17" t="n">
        <v>0.07142857142857142</v>
      </c>
      <c r="J112" s="17" t="n">
        <v>1</v>
      </c>
      <c r="K112" s="17" t="n">
        <v>0.3333333333333333</v>
      </c>
      <c r="L112" s="17">
        <f>PRODUCT(H112:K112)</f>
        <v>0.002976190476190476</v>
      </c>
      <c r="M112" s="17">
        <f>G112*L112</f>
        <v>0.027797619047619047</v>
      </c>
      <c r="N112" s="17">
        <f>IF(K112=0,H112*I112,L112)</f>
        <v>0.002976190476190476</v>
      </c>
      <c r="O112" s="17">
        <f>G112*N112</f>
        <v>0.027797619047619047</v>
      </c>
      <c r="P112" s="15" t="n"/>
      <c r="Q112" s="15" t="inlineStr">
        <is>
          <t>9月</t>
        </is>
      </c>
      <c r="R112" s="15" t="inlineStr">
        <is>
          <t>特色美食廊</t>
        </is>
      </c>
      <c r="S112" s="17" t="n">
        <v>9.92</v>
      </c>
      <c r="T112" s="17">
        <f>SUMIFS($M$2:$M$383,$A$2:$A$383,Q112,$C$2:$C$383,R112)/V112</f>
        <v>9.916666666666666</v>
      </c>
      <c r="U112" s="17">
        <f>S112-T112</f>
        <v>0.0033333333333338544</v>
      </c>
      <c r="V112" s="17" t="n">
        <v>0.008928571428571428</v>
      </c>
      <c r="W112" s="17">
        <f>S112*V112</f>
        <v>0.08857142857142856</v>
      </c>
      <c r="X112" s="17">
        <f>U112*V112</f>
        <v>2.9761904761909414e-05</v>
      </c>
    </row>
    <row r="113">
      <c r="A113" s="15" t="inlineStr">
        <is>
          <t>4月</t>
        </is>
      </c>
      <c r="B113" s="15" t="inlineStr">
        <is>
          <t>一、会展客户</t>
        </is>
      </c>
      <c r="C113" s="15" t="inlineStr">
        <is>
          <t>参会客户</t>
        </is>
      </c>
      <c r="D113" s="15" t="inlineStr">
        <is>
          <t>参会人员</t>
        </is>
      </c>
      <c r="E113" s="15" t="inlineStr">
        <is>
          <t>配套服务</t>
        </is>
      </c>
      <c r="F113" s="15" t="inlineStr">
        <is>
          <t>配套服务</t>
        </is>
      </c>
      <c r="G113" s="17" t="n">
        <v>9.710000000000001</v>
      </c>
      <c r="H113" s="17" t="n">
        <v>0.125</v>
      </c>
      <c r="I113" s="17" t="n">
        <v>0.07142857142857142</v>
      </c>
      <c r="J113" s="17" t="n">
        <v>1</v>
      </c>
      <c r="K113" s="17" t="n">
        <v>0.3333333333333333</v>
      </c>
      <c r="L113" s="17">
        <f>PRODUCT(H113:K113)</f>
        <v>0.002976190476190476</v>
      </c>
      <c r="M113" s="17">
        <f>G113*L113</f>
        <v>0.028898809523809525</v>
      </c>
      <c r="N113" s="17">
        <f>IF(K113=0,H113*I113,L113)</f>
        <v>0.002976190476190476</v>
      </c>
      <c r="O113" s="17">
        <f>G113*N113</f>
        <v>0.028898809523809525</v>
      </c>
      <c r="P113" s="15" t="n"/>
      <c r="Q113" s="15" t="inlineStr">
        <is>
          <t>9月</t>
        </is>
      </c>
      <c r="R113" s="15" t="inlineStr">
        <is>
          <t>自助餐</t>
        </is>
      </c>
      <c r="S113" s="17" t="n">
        <v>9.68</v>
      </c>
      <c r="T113" s="17">
        <f>SUMIFS($M$2:$M$383,$A$2:$A$383,Q113,$C$2:$C$383,R113)/V113</f>
        <v>9.680000000000001</v>
      </c>
      <c r="U113" s="17">
        <f>S113-T113</f>
        <v>-1.7763568394002505e-15</v>
      </c>
      <c r="V113" s="17" t="n">
        <v>0.008928571428571428</v>
      </c>
      <c r="W113" s="17">
        <f>S113*V113</f>
        <v>0.08642857142857142</v>
      </c>
      <c r="X113" s="17">
        <f>U113*V113</f>
        <v>-1.586032892321652e-17</v>
      </c>
    </row>
    <row r="114">
      <c r="A114" s="15" t="inlineStr">
        <is>
          <t>4月</t>
        </is>
      </c>
      <c r="B114" s="15" t="inlineStr">
        <is>
          <t>一、会展客户</t>
        </is>
      </c>
      <c r="C114" s="15" t="inlineStr">
        <is>
          <t>参会客户</t>
        </is>
      </c>
      <c r="D114" s="15" t="inlineStr">
        <is>
          <t>配套服务子项</t>
        </is>
      </c>
      <c r="E114" s="15" t="inlineStr">
        <is>
          <t>其中：餐饮服务</t>
        </is>
      </c>
      <c r="F114" s="15" t="inlineStr">
        <is>
          <t>餐饮服务</t>
        </is>
      </c>
      <c r="G114" s="17" t="n">
        <v>9.18</v>
      </c>
      <c r="H114" s="17" t="n">
        <v>0.125</v>
      </c>
      <c r="I114" s="17" t="n">
        <v>0.07142857142857142</v>
      </c>
      <c r="J114" s="17" t="n">
        <v>1</v>
      </c>
      <c r="K114" s="17" t="n">
        <v>0</v>
      </c>
      <c r="L114" s="17">
        <f>PRODUCT(H114:K114)</f>
        <v>0.0</v>
      </c>
      <c r="M114" s="17">
        <f>G114*L114</f>
        <v>0.0</v>
      </c>
      <c r="N114" s="17">
        <f>IF(K114=0,H114*I114,L114)</f>
        <v>0.008928571428571428</v>
      </c>
      <c r="O114" s="17">
        <f>G114*N114</f>
        <v>0.08196428571428571</v>
      </c>
      <c r="P114" s="15" t="n"/>
      <c r="Q114" s="15" t="inlineStr">
        <is>
          <t>9月</t>
        </is>
      </c>
      <c r="R114" s="15" t="inlineStr">
        <is>
          <t>宴会</t>
        </is>
      </c>
      <c r="S114" s="17" t="n">
        <v>9.98</v>
      </c>
      <c r="T114" s="17">
        <f>SUMIFS($M$2:$M$383,$A$2:$A$383,Q114,$C$2:$C$383,R114)/V114</f>
        <v>9.975000000000001</v>
      </c>
      <c r="U114" s="17">
        <f>S114-T114</f>
        <v>0.004999999999999005</v>
      </c>
      <c r="V114" s="17" t="n">
        <v>0.008928571428571428</v>
      </c>
      <c r="W114" s="17">
        <f>S114*V114</f>
        <v>0.08910714285714286</v>
      </c>
      <c r="X114" s="17">
        <f>U114*V114</f>
        <v>4.464285714284826e-05</v>
      </c>
    </row>
    <row r="115">
      <c r="A115" s="15" t="inlineStr">
        <is>
          <t>4月</t>
        </is>
      </c>
      <c r="B115" s="15" t="inlineStr">
        <is>
          <t>二、餐饮客户</t>
        </is>
      </c>
      <c r="C115" s="15" t="inlineStr">
        <is>
          <t>商务简餐</t>
        </is>
      </c>
      <c r="D115" s="15" t="inlineStr">
        <is>
          <t>商务简餐</t>
        </is>
      </c>
      <c r="E115" s="15" t="inlineStr">
        <is>
          <t>餐饮服务</t>
        </is>
      </c>
      <c r="F115" s="15" t="inlineStr">
        <is>
          <t>餐饮服务</t>
        </is>
      </c>
      <c r="G115" s="17" t="n">
        <v>9.890000000000001</v>
      </c>
      <c r="H115" s="17" t="n">
        <v>0.125</v>
      </c>
      <c r="I115" s="17" t="n">
        <v>0.07142857142857142</v>
      </c>
      <c r="J115" s="17" t="n">
        <v>1</v>
      </c>
      <c r="K115" s="17" t="n">
        <v>0.5</v>
      </c>
      <c r="L115" s="17">
        <f>PRODUCT(H115:K115)</f>
        <v>0.004464285714285714</v>
      </c>
      <c r="M115" s="17">
        <f>G115*L115</f>
        <v>0.04415178571428571</v>
      </c>
      <c r="N115" s="17">
        <f>IF(K115=0,H115*I115,L115)</f>
        <v>0.004464285714285714</v>
      </c>
      <c r="O115" s="17">
        <f>G115*N115</f>
        <v>0.04415178571428571</v>
      </c>
      <c r="P115" s="15" t="n"/>
      <c r="Q115" s="15" t="inlineStr">
        <is>
          <t>9月</t>
        </is>
      </c>
      <c r="R115" s="15" t="inlineStr">
        <is>
          <t>游客</t>
        </is>
      </c>
      <c r="S115" s="17" t="n">
        <v>9.32</v>
      </c>
      <c r="T115" s="17">
        <f>SUMIFS($M$2:$M$383,$A$2:$A$383,Q115,$C$2:$C$383,R115)/V115</f>
        <v>9.316666666666666</v>
      </c>
      <c r="U115" s="17">
        <f>S115-T115</f>
        <v>0.0033333333333338544</v>
      </c>
      <c r="V115" s="17" t="n">
        <v>0.008928571428571428</v>
      </c>
      <c r="W115" s="17">
        <f>S115*V115</f>
        <v>0.08321428571428571</v>
      </c>
      <c r="X115" s="17">
        <f>U115*V115</f>
        <v>2.9761904761909414e-05</v>
      </c>
    </row>
    <row r="116">
      <c r="A116" s="15" t="inlineStr">
        <is>
          <t>4月</t>
        </is>
      </c>
      <c r="B116" s="15" t="inlineStr">
        <is>
          <t>二、餐饮客户</t>
        </is>
      </c>
      <c r="C116" s="15" t="inlineStr">
        <is>
          <t>商务简餐</t>
        </is>
      </c>
      <c r="D116" s="15" t="inlineStr">
        <is>
          <t>商务简餐</t>
        </is>
      </c>
      <c r="E116" s="15" t="inlineStr">
        <is>
          <t>硬件设施</t>
        </is>
      </c>
      <c r="F116" s="15" t="inlineStr">
        <is>
          <t>硬件设施</t>
        </is>
      </c>
      <c r="G116" s="17" t="n">
        <v>9.210000000000001</v>
      </c>
      <c r="H116" s="17" t="n">
        <v>0.125</v>
      </c>
      <c r="I116" s="17" t="n">
        <v>0.07142857142857142</v>
      </c>
      <c r="J116" s="17" t="n">
        <v>1</v>
      </c>
      <c r="K116" s="17" t="n">
        <v>0.5</v>
      </c>
      <c r="L116" s="17">
        <f>PRODUCT(H116:K116)</f>
        <v>0.004464285714285714</v>
      </c>
      <c r="M116" s="17">
        <f>G116*L116</f>
        <v>0.04111607142857143</v>
      </c>
      <c r="N116" s="17">
        <f>IF(K116=0,H116*I116,L116)</f>
        <v>0.004464285714285714</v>
      </c>
      <c r="O116" s="17">
        <f>G116*N116</f>
        <v>0.04111607142857143</v>
      </c>
      <c r="P116" s="15" t="n"/>
      <c r="Q116" s="15" t="inlineStr">
        <is>
          <t>9月</t>
        </is>
      </c>
      <c r="R116" s="15" t="inlineStr">
        <is>
          <t>旅行社工作人员</t>
        </is>
      </c>
      <c r="S116" s="17" t="n">
        <v>9.890000000000001</v>
      </c>
      <c r="T116" s="17">
        <f>SUMIFS($M$2:$M$383,$A$2:$A$383,Q116,$C$2:$C$383,R116)/V116</f>
        <v>9.89</v>
      </c>
      <c r="U116" s="17">
        <f>S116-T116</f>
        <v>0.0</v>
      </c>
      <c r="V116" s="17" t="n">
        <v>0.008928571428571428</v>
      </c>
      <c r="W116" s="17">
        <f>S116*V116</f>
        <v>0.08830357142857143</v>
      </c>
      <c r="X116" s="17">
        <f>U116*V116</f>
        <v>0.0</v>
      </c>
    </row>
    <row r="117">
      <c r="A117" s="15" t="inlineStr">
        <is>
          <t>4月</t>
        </is>
      </c>
      <c r="B117" s="15" t="inlineStr">
        <is>
          <t>二、餐饮客户</t>
        </is>
      </c>
      <c r="C117" s="15" t="inlineStr">
        <is>
          <t>特色美食廊</t>
        </is>
      </c>
      <c r="D117" s="15" t="inlineStr">
        <is>
          <t>特色美食廊</t>
        </is>
      </c>
      <c r="E117" s="15" t="inlineStr">
        <is>
          <t>餐饮服务</t>
        </is>
      </c>
      <c r="F117" s="15" t="inlineStr">
        <is>
          <t>餐饮服务</t>
        </is>
      </c>
      <c r="G117" s="17" t="n">
        <v>9.25</v>
      </c>
      <c r="H117" s="17" t="n">
        <v>0.125</v>
      </c>
      <c r="I117" s="17" t="n">
        <v>0.07142857142857142</v>
      </c>
      <c r="J117" s="17" t="n">
        <v>1</v>
      </c>
      <c r="K117" s="17" t="n">
        <v>0.5</v>
      </c>
      <c r="L117" s="17">
        <f>PRODUCT(H117:K117)</f>
        <v>0.004464285714285714</v>
      </c>
      <c r="M117" s="17">
        <f>G117*L117</f>
        <v>0.041294642857142856</v>
      </c>
      <c r="N117" s="17">
        <f>IF(K117=0,H117*I117,L117)</f>
        <v>0.004464285714285714</v>
      </c>
      <c r="O117" s="17">
        <f>G117*N117</f>
        <v>0.041294642857142856</v>
      </c>
      <c r="P117" s="15" t="n"/>
      <c r="Q117" s="15" t="inlineStr">
        <is>
          <t>9月</t>
        </is>
      </c>
      <c r="R117" s="15" t="inlineStr">
        <is>
          <t>酒店散客</t>
        </is>
      </c>
      <c r="S117" s="17" t="n">
        <v>9.6</v>
      </c>
      <c r="T117" s="17">
        <f>SUMIFS($M$2:$M$383,$A$2:$A$383,Q117,$C$2:$C$383,R117)/V117</f>
        <v>9.603333333333333</v>
      </c>
      <c r="U117" s="17">
        <f>S117-T117</f>
        <v>-0.0033333333333338544</v>
      </c>
      <c r="V117" s="17" t="n">
        <v>0.008928571428571428</v>
      </c>
      <c r="W117" s="17">
        <f>S117*V117</f>
        <v>0.0857142857142857</v>
      </c>
      <c r="X117" s="17">
        <f>U117*V117</f>
        <v>-2.9761904761909414e-05</v>
      </c>
    </row>
    <row r="118">
      <c r="A118" s="15" t="inlineStr">
        <is>
          <t>4月</t>
        </is>
      </c>
      <c r="B118" s="15" t="inlineStr">
        <is>
          <t>二、餐饮客户</t>
        </is>
      </c>
      <c r="C118" s="15" t="inlineStr">
        <is>
          <t>特色美食廊</t>
        </is>
      </c>
      <c r="D118" s="15" t="inlineStr">
        <is>
          <t>特色美食廊</t>
        </is>
      </c>
      <c r="E118" s="15" t="inlineStr">
        <is>
          <t>硬件设施</t>
        </is>
      </c>
      <c r="F118" s="15" t="inlineStr">
        <is>
          <t>硬件设施</t>
        </is>
      </c>
      <c r="G118" s="17" t="n">
        <v>9.109999999999999</v>
      </c>
      <c r="H118" s="17" t="n">
        <v>0.125</v>
      </c>
      <c r="I118" s="17" t="n">
        <v>0.07142857142857142</v>
      </c>
      <c r="J118" s="17" t="n">
        <v>1</v>
      </c>
      <c r="K118" s="17" t="n">
        <v>0.5</v>
      </c>
      <c r="L118" s="17">
        <f>PRODUCT(H118:K118)</f>
        <v>0.004464285714285714</v>
      </c>
      <c r="M118" s="17">
        <f>G118*L118</f>
        <v>0.040669642857142856</v>
      </c>
      <c r="N118" s="17">
        <f>IF(K118=0,H118*I118,L118)</f>
        <v>0.004464285714285714</v>
      </c>
      <c r="O118" s="17">
        <f>G118*N118</f>
        <v>0.040669642857142856</v>
      </c>
      <c r="P118" s="15" t="n"/>
      <c r="Q118" s="15" t="inlineStr">
        <is>
          <t>9月</t>
        </is>
      </c>
      <c r="R118" s="15" t="inlineStr">
        <is>
          <t>酒店会议主（承）办</t>
        </is>
      </c>
      <c r="S118" s="17" t="n">
        <v>9.93</v>
      </c>
      <c r="T118" s="17">
        <f>SUMIFS($M$2:$M$383,$A$2:$A$383,Q118,$C$2:$C$383,R118)/V118</f>
        <v>9.93</v>
      </c>
      <c r="U118" s="17">
        <f>S118-T118</f>
        <v>0.0</v>
      </c>
      <c r="V118" s="17" t="n">
        <v>0.008928571428571428</v>
      </c>
      <c r="W118" s="17">
        <f>S118*V118</f>
        <v>0.08866071428571427</v>
      </c>
      <c r="X118" s="17">
        <f>U118*V118</f>
        <v>0.0</v>
      </c>
    </row>
    <row r="119">
      <c r="A119" s="15" t="inlineStr">
        <is>
          <t>4月</t>
        </is>
      </c>
      <c r="B119" s="15" t="inlineStr">
        <is>
          <t>二、餐饮客户</t>
        </is>
      </c>
      <c r="C119" s="15" t="inlineStr">
        <is>
          <t>婚宴</t>
        </is>
      </c>
      <c r="D119" s="15" t="inlineStr">
        <is>
          <t>婚宴</t>
        </is>
      </c>
      <c r="E119" s="15" t="inlineStr">
        <is>
          <t>餐饮服务</t>
        </is>
      </c>
      <c r="F119" s="15" t="inlineStr">
        <is>
          <t>餐饮服务</t>
        </is>
      </c>
      <c r="G119" s="17" t="n">
        <v>9.91</v>
      </c>
      <c r="H119" s="17" t="n">
        <v>0.125</v>
      </c>
      <c r="I119" s="17" t="n">
        <v>0.07142857142857142</v>
      </c>
      <c r="J119" s="17" t="n">
        <v>1</v>
      </c>
      <c r="K119" s="17" t="n">
        <v>0.5</v>
      </c>
      <c r="L119" s="17">
        <f>PRODUCT(H119:K119)</f>
        <v>0.004464285714285714</v>
      </c>
      <c r="M119" s="17">
        <f>G119*L119</f>
        <v>0.04424107142857143</v>
      </c>
      <c r="N119" s="17">
        <f>IF(K119=0,H119*I119,L119)</f>
        <v>0.004464285714285714</v>
      </c>
      <c r="O119" s="17">
        <f>G119*N119</f>
        <v>0.04424107142857143</v>
      </c>
      <c r="P119" s="15" t="n"/>
      <c r="Q119" s="15" t="inlineStr">
        <is>
          <t>9月</t>
        </is>
      </c>
      <c r="R119" s="15" t="inlineStr">
        <is>
          <t>酒店餐饮客户</t>
        </is>
      </c>
      <c r="S119" s="17" t="n">
        <v>9.49</v>
      </c>
      <c r="T119" s="17">
        <f>SUMIFS($M$2:$M$383,$A$2:$A$383,Q119,$C$2:$C$383,R119)/V119</f>
        <v>9.485000000000001</v>
      </c>
      <c r="U119" s="17">
        <f>S119-T119</f>
        <v>0.004999999999999005</v>
      </c>
      <c r="V119" s="17" t="n">
        <v>0.008928571428571428</v>
      </c>
      <c r="W119" s="17">
        <f>S119*V119</f>
        <v>0.08473214285714285</v>
      </c>
      <c r="X119" s="17">
        <f>U119*V119</f>
        <v>4.464285714284826e-05</v>
      </c>
    </row>
    <row r="120">
      <c r="A120" s="15" t="inlineStr">
        <is>
          <t>4月</t>
        </is>
      </c>
      <c r="B120" s="15" t="inlineStr">
        <is>
          <t>二、餐饮客户</t>
        </is>
      </c>
      <c r="C120" s="15" t="inlineStr">
        <is>
          <t>婚宴</t>
        </is>
      </c>
      <c r="D120" s="15" t="inlineStr">
        <is>
          <t>婚宴</t>
        </is>
      </c>
      <c r="E120" s="15" t="inlineStr">
        <is>
          <t>硬件设施</t>
        </is>
      </c>
      <c r="F120" s="15" t="inlineStr">
        <is>
          <t>硬件设施</t>
        </is>
      </c>
      <c r="G120" s="17" t="n">
        <v>8.94</v>
      </c>
      <c r="H120" s="17" t="n">
        <v>0.125</v>
      </c>
      <c r="I120" s="17" t="n">
        <v>0.07142857142857142</v>
      </c>
      <c r="J120" s="17" t="n">
        <v>1</v>
      </c>
      <c r="K120" s="17" t="n">
        <v>0.5</v>
      </c>
      <c r="L120" s="17">
        <f>PRODUCT(H120:K120)</f>
        <v>0.004464285714285714</v>
      </c>
      <c r="M120" s="17">
        <f>G120*L120</f>
        <v>0.03991071428571428</v>
      </c>
      <c r="N120" s="17">
        <f>IF(K120=0,H120*I120,L120)</f>
        <v>0.004464285714285714</v>
      </c>
      <c r="O120" s="17">
        <f>G120*N120</f>
        <v>0.03991071428571428</v>
      </c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</row>
    <row r="121">
      <c r="A121" s="15" t="inlineStr">
        <is>
          <t>4月</t>
        </is>
      </c>
      <c r="B121" s="15" t="inlineStr">
        <is>
          <t>二、餐饮客户</t>
        </is>
      </c>
      <c r="C121" s="15" t="inlineStr">
        <is>
          <t>自助餐</t>
        </is>
      </c>
      <c r="D121" s="15" t="inlineStr">
        <is>
          <t>自助餐</t>
        </is>
      </c>
      <c r="E121" s="15" t="inlineStr">
        <is>
          <t>餐饮服务</t>
        </is>
      </c>
      <c r="F121" s="15" t="inlineStr">
        <is>
          <t>餐饮服务</t>
        </is>
      </c>
      <c r="G121" s="17" t="n">
        <v>9.699999999999999</v>
      </c>
      <c r="H121" s="17" t="n">
        <v>0.125</v>
      </c>
      <c r="I121" s="17" t="n">
        <v>0.07142857142857142</v>
      </c>
      <c r="J121" s="17" t="n">
        <v>1</v>
      </c>
      <c r="K121" s="17" t="n">
        <v>0.5</v>
      </c>
      <c r="L121" s="17">
        <f>PRODUCT(H121:K121)</f>
        <v>0.004464285714285714</v>
      </c>
      <c r="M121" s="17">
        <f>G121*L121</f>
        <v>0.04330357142857142</v>
      </c>
      <c r="N121" s="17">
        <f>IF(K121=0,H121*I121,L121)</f>
        <v>0.004464285714285714</v>
      </c>
      <c r="O121" s="17">
        <f>G121*N121</f>
        <v>0.04330357142857142</v>
      </c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</row>
    <row r="122">
      <c r="A122" s="15" t="inlineStr">
        <is>
          <t>4月</t>
        </is>
      </c>
      <c r="B122" s="15" t="inlineStr">
        <is>
          <t>二、餐饮客户</t>
        </is>
      </c>
      <c r="C122" s="15" t="inlineStr">
        <is>
          <t>自助餐</t>
        </is>
      </c>
      <c r="D122" s="15" t="inlineStr">
        <is>
          <t>自助餐</t>
        </is>
      </c>
      <c r="E122" s="15" t="inlineStr">
        <is>
          <t>硬件设施</t>
        </is>
      </c>
      <c r="F122" s="15" t="inlineStr">
        <is>
          <t>硬件设施</t>
        </is>
      </c>
      <c r="G122" s="17" t="n">
        <v>8.92</v>
      </c>
      <c r="H122" s="17" t="n">
        <v>0.125</v>
      </c>
      <c r="I122" s="17" t="n">
        <v>0.07142857142857142</v>
      </c>
      <c r="J122" s="17" t="n">
        <v>1</v>
      </c>
      <c r="K122" s="17" t="n">
        <v>0.5</v>
      </c>
      <c r="L122" s="17">
        <f>PRODUCT(H122:K122)</f>
        <v>0.004464285714285714</v>
      </c>
      <c r="M122" s="17">
        <f>G122*L122</f>
        <v>0.03982142857142857</v>
      </c>
      <c r="N122" s="17">
        <f>IF(K122=0,H122*I122,L122)</f>
        <v>0.004464285714285714</v>
      </c>
      <c r="O122" s="17">
        <f>G122*N122</f>
        <v>0.03982142857142857</v>
      </c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</row>
    <row r="123">
      <c r="A123" s="15" t="inlineStr">
        <is>
          <t>4月</t>
        </is>
      </c>
      <c r="B123" s="15" t="inlineStr">
        <is>
          <t>二、餐饮客户</t>
        </is>
      </c>
      <c r="C123" s="15" t="inlineStr">
        <is>
          <t>宴会</t>
        </is>
      </c>
      <c r="D123" s="15" t="inlineStr">
        <is>
          <t>宴会</t>
        </is>
      </c>
      <c r="E123" s="15" t="inlineStr">
        <is>
          <t>餐饮服务</t>
        </is>
      </c>
      <c r="F123" s="15" t="inlineStr">
        <is>
          <t>餐饮服务</t>
        </is>
      </c>
      <c r="G123" s="17" t="n">
        <v>9.91</v>
      </c>
      <c r="H123" s="17" t="n">
        <v>0.125</v>
      </c>
      <c r="I123" s="17" t="n">
        <v>0.07142857142857142</v>
      </c>
      <c r="J123" s="17" t="n">
        <v>1</v>
      </c>
      <c r="K123" s="17" t="n">
        <v>0.5</v>
      </c>
      <c r="L123" s="17">
        <f>PRODUCT(H123:K123)</f>
        <v>0.004464285714285714</v>
      </c>
      <c r="M123" s="17">
        <f>G123*L123</f>
        <v>0.04424107142857143</v>
      </c>
      <c r="N123" s="17">
        <f>IF(K123=0,H123*I123,L123)</f>
        <v>0.004464285714285714</v>
      </c>
      <c r="O123" s="17">
        <f>G123*N123</f>
        <v>0.04424107142857143</v>
      </c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</row>
    <row r="124">
      <c r="A124" s="15" t="inlineStr">
        <is>
          <t>4月</t>
        </is>
      </c>
      <c r="B124" s="15" t="inlineStr">
        <is>
          <t>二、餐饮客户</t>
        </is>
      </c>
      <c r="C124" s="15" t="inlineStr">
        <is>
          <t>宴会</t>
        </is>
      </c>
      <c r="D124" s="15" t="inlineStr">
        <is>
          <t>宴会</t>
        </is>
      </c>
      <c r="E124" s="15" t="inlineStr">
        <is>
          <t>硬件设施</t>
        </is>
      </c>
      <c r="F124" s="15" t="inlineStr">
        <is>
          <t>硬件设施</t>
        </is>
      </c>
      <c r="G124" s="17" t="n">
        <v>9.65</v>
      </c>
      <c r="H124" s="17" t="n">
        <v>0.125</v>
      </c>
      <c r="I124" s="17" t="n">
        <v>0.07142857142857142</v>
      </c>
      <c r="J124" s="17" t="n">
        <v>1</v>
      </c>
      <c r="K124" s="17" t="n">
        <v>0.5</v>
      </c>
      <c r="L124" s="17">
        <f>PRODUCT(H124:K124)</f>
        <v>0.004464285714285714</v>
      </c>
      <c r="M124" s="17">
        <f>G124*L124</f>
        <v>0.04308035714285714</v>
      </c>
      <c r="N124" s="17">
        <f>IF(K124=0,H124*I124,L124)</f>
        <v>0.004464285714285714</v>
      </c>
      <c r="O124" s="17">
        <f>G124*N124</f>
        <v>0.04308035714285714</v>
      </c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</row>
    <row r="125">
      <c r="A125" s="15" t="inlineStr">
        <is>
          <t>4月</t>
        </is>
      </c>
      <c r="B125" s="15" t="inlineStr">
        <is>
          <t>五、酒店客户</t>
        </is>
      </c>
      <c r="C125" s="15" t="inlineStr">
        <is>
          <t>酒店散客</t>
        </is>
      </c>
      <c r="D125" s="15" t="inlineStr">
        <is>
          <t>散客</t>
        </is>
      </c>
      <c r="E125" s="15" t="inlineStr">
        <is>
          <t>硬件设施</t>
        </is>
      </c>
      <c r="F125" s="15" t="inlineStr">
        <is>
          <t>硬件设施</t>
        </is>
      </c>
      <c r="G125" s="17" t="n">
        <v>9.66</v>
      </c>
      <c r="H125" s="17" t="n">
        <v>0.125</v>
      </c>
      <c r="I125" s="17" t="n">
        <v>0.07142857142857142</v>
      </c>
      <c r="J125" s="17" t="n">
        <v>1</v>
      </c>
      <c r="K125" s="17" t="n">
        <v>0.3333333333333333</v>
      </c>
      <c r="L125" s="17">
        <f>PRODUCT(H125:K125)</f>
        <v>0.002976190476190476</v>
      </c>
      <c r="M125" s="17">
        <f>G125*L125</f>
        <v>0.028749999999999998</v>
      </c>
      <c r="N125" s="17">
        <f>IF(K125=0,H125*I125,L125)</f>
        <v>0.002976190476190476</v>
      </c>
      <c r="O125" s="17">
        <f>G125*N125</f>
        <v>0.028749999999999998</v>
      </c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</row>
    <row r="126">
      <c r="A126" s="15" t="inlineStr">
        <is>
          <t>4月</t>
        </is>
      </c>
      <c r="B126" s="15" t="inlineStr">
        <is>
          <t>五、酒店客户</t>
        </is>
      </c>
      <c r="C126" s="15" t="inlineStr">
        <is>
          <t>酒店散客</t>
        </is>
      </c>
      <c r="D126" s="15" t="inlineStr">
        <is>
          <t>散客</t>
        </is>
      </c>
      <c r="E126" s="15" t="inlineStr">
        <is>
          <t>入住服务</t>
        </is>
      </c>
      <c r="F126" s="15" t="inlineStr">
        <is>
          <t>产品服务</t>
        </is>
      </c>
      <c r="G126" s="17" t="n">
        <v>9.99</v>
      </c>
      <c r="H126" s="17" t="n">
        <v>0.125</v>
      </c>
      <c r="I126" s="17" t="n">
        <v>0.07142857142857142</v>
      </c>
      <c r="J126" s="17" t="n">
        <v>1</v>
      </c>
      <c r="K126" s="17" t="n">
        <v>0.3333333333333333</v>
      </c>
      <c r="L126" s="17">
        <f>PRODUCT(H126:K126)</f>
        <v>0.002976190476190476</v>
      </c>
      <c r="M126" s="17">
        <f>G126*L126</f>
        <v>0.029732142857142856</v>
      </c>
      <c r="N126" s="17">
        <f>IF(K126=0,H126*I126,L126)</f>
        <v>0.002976190476190476</v>
      </c>
      <c r="O126" s="17">
        <f>G126*N126</f>
        <v>0.029732142857142856</v>
      </c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</row>
    <row r="127">
      <c r="A127" s="15" t="inlineStr">
        <is>
          <t>4月</t>
        </is>
      </c>
      <c r="B127" s="15" t="inlineStr">
        <is>
          <t>五、酒店客户</t>
        </is>
      </c>
      <c r="C127" s="15" t="inlineStr">
        <is>
          <t>酒店散客</t>
        </is>
      </c>
      <c r="D127" s="15" t="inlineStr">
        <is>
          <t>散客</t>
        </is>
      </c>
      <c r="E127" s="15" t="inlineStr">
        <is>
          <t>餐饮服务</t>
        </is>
      </c>
      <c r="F127" s="15" t="inlineStr">
        <is>
          <t>餐饮服务</t>
        </is>
      </c>
      <c r="G127" s="17" t="n">
        <v>10</v>
      </c>
      <c r="H127" s="17" t="n">
        <v>0.125</v>
      </c>
      <c r="I127" s="17" t="n">
        <v>0.07142857142857142</v>
      </c>
      <c r="J127" s="17" t="n">
        <v>1</v>
      </c>
      <c r="K127" s="17" t="n">
        <v>0.3333333333333333</v>
      </c>
      <c r="L127" s="17">
        <f>PRODUCT(H127:K127)</f>
        <v>0.002976190476190476</v>
      </c>
      <c r="M127" s="17">
        <f>G127*L127</f>
        <v>0.02976190476190476</v>
      </c>
      <c r="N127" s="17">
        <f>IF(K127=0,H127*I127,L127)</f>
        <v>0.002976190476190476</v>
      </c>
      <c r="O127" s="17">
        <f>G127*N127</f>
        <v>0.02976190476190476</v>
      </c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</row>
    <row r="128">
      <c r="A128" s="15" t="inlineStr">
        <is>
          <t>4月</t>
        </is>
      </c>
      <c r="B128" s="15" t="inlineStr">
        <is>
          <t>五、酒店客户</t>
        </is>
      </c>
      <c r="C128" s="15" t="inlineStr">
        <is>
          <t>酒店参会客户</t>
        </is>
      </c>
      <c r="D128" s="15" t="inlineStr">
        <is>
          <t>酒店参会客户</t>
        </is>
      </c>
      <c r="E128" s="15" t="inlineStr">
        <is>
          <t>会展服务</t>
        </is>
      </c>
      <c r="F128" s="15" t="inlineStr">
        <is>
          <t>产品服务</t>
        </is>
      </c>
      <c r="G128" s="17" t="n">
        <v>10</v>
      </c>
      <c r="H128" s="17" t="n">
        <v>0.125</v>
      </c>
      <c r="I128" s="17" t="n">
        <v>0.07142857142857142</v>
      </c>
      <c r="J128" s="17" t="n">
        <v>1</v>
      </c>
      <c r="K128" s="17" t="n">
        <v>0.3333333333333333</v>
      </c>
      <c r="L128" s="17">
        <f>PRODUCT(H128:K128)</f>
        <v>0.002976190476190476</v>
      </c>
      <c r="M128" s="17">
        <f>G128*L128</f>
        <v>0.02976190476190476</v>
      </c>
      <c r="N128" s="17">
        <f>IF(K128=0,H128*I128,L128)</f>
        <v>0.002976190476190476</v>
      </c>
      <c r="O128" s="17">
        <f>G128*N128</f>
        <v>0.02976190476190476</v>
      </c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</row>
    <row r="129">
      <c r="A129" s="15" t="inlineStr">
        <is>
          <t>4月</t>
        </is>
      </c>
      <c r="B129" s="15" t="inlineStr">
        <is>
          <t>五、酒店客户</t>
        </is>
      </c>
      <c r="C129" s="15" t="inlineStr">
        <is>
          <t>酒店参会客户</t>
        </is>
      </c>
      <c r="D129" s="15" t="inlineStr">
        <is>
          <t>酒店参会客户</t>
        </is>
      </c>
      <c r="E129" s="15" t="inlineStr">
        <is>
          <t>硬件设施</t>
        </is>
      </c>
      <c r="F129" s="15" t="inlineStr">
        <is>
          <t>硬件设施</t>
        </is>
      </c>
      <c r="G129" s="17" t="n">
        <v>9.57</v>
      </c>
      <c r="H129" s="17" t="n">
        <v>0.125</v>
      </c>
      <c r="I129" s="17" t="n">
        <v>0.07142857142857142</v>
      </c>
      <c r="J129" s="17" t="n">
        <v>1</v>
      </c>
      <c r="K129" s="17" t="n">
        <v>0.3333333333333333</v>
      </c>
      <c r="L129" s="17">
        <f>PRODUCT(H129:K129)</f>
        <v>0.002976190476190476</v>
      </c>
      <c r="M129" s="17">
        <f>G129*L129</f>
        <v>0.028482142857142855</v>
      </c>
      <c r="N129" s="17">
        <f>IF(K129=0,H129*I129,L129)</f>
        <v>0.002976190476190476</v>
      </c>
      <c r="O129" s="17">
        <f>G129*N129</f>
        <v>0.028482142857142855</v>
      </c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</row>
    <row r="130">
      <c r="A130" s="15" t="inlineStr">
        <is>
          <t>4月</t>
        </is>
      </c>
      <c r="B130" s="15" t="inlineStr">
        <is>
          <t>五、酒店客户</t>
        </is>
      </c>
      <c r="C130" s="15" t="inlineStr">
        <is>
          <t>酒店参会客户</t>
        </is>
      </c>
      <c r="D130" s="15" t="inlineStr">
        <is>
          <t>酒店参会客户</t>
        </is>
      </c>
      <c r="E130" s="15" t="inlineStr">
        <is>
          <t>配套服务</t>
        </is>
      </c>
      <c r="F130" s="15" t="inlineStr">
        <is>
          <t>配套服务</t>
        </is>
      </c>
      <c r="G130" s="17" t="n">
        <v>10</v>
      </c>
      <c r="H130" s="17" t="n">
        <v>0.125</v>
      </c>
      <c r="I130" s="17" t="n">
        <v>0.07142857142857142</v>
      </c>
      <c r="J130" s="17" t="n">
        <v>1</v>
      </c>
      <c r="K130" s="17" t="n">
        <v>0.3333333333333333</v>
      </c>
      <c r="L130" s="17">
        <f>PRODUCT(H130:K130)</f>
        <v>0.002976190476190476</v>
      </c>
      <c r="M130" s="17">
        <f>G130*L130</f>
        <v>0.02976190476190476</v>
      </c>
      <c r="N130" s="17">
        <f>IF(K130=0,H130*I130,L130)</f>
        <v>0.002976190476190476</v>
      </c>
      <c r="O130" s="17">
        <f>G130*N130</f>
        <v>0.02976190476190476</v>
      </c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</row>
    <row r="131">
      <c r="A131" s="15" t="inlineStr">
        <is>
          <t>4月</t>
        </is>
      </c>
      <c r="B131" s="15" t="inlineStr">
        <is>
          <t>五、酒店客户</t>
        </is>
      </c>
      <c r="C131" s="15" t="inlineStr">
        <is>
          <t>酒店餐饮客户</t>
        </is>
      </c>
      <c r="D131" s="15" t="inlineStr">
        <is>
          <t>酒店宴会</t>
        </is>
      </c>
      <c r="E131" s="15" t="inlineStr">
        <is>
          <t>餐饮服务</t>
        </is>
      </c>
      <c r="F131" s="15" t="inlineStr">
        <is>
          <t>餐饮服务</t>
        </is>
      </c>
      <c r="G131" s="17" t="n">
        <v>9.85</v>
      </c>
      <c r="H131" s="17" t="n">
        <v>0.125</v>
      </c>
      <c r="I131" s="17" t="n">
        <v>0.07142857142857142</v>
      </c>
      <c r="J131" s="17" t="n">
        <v>1</v>
      </c>
      <c r="K131" s="17" t="n">
        <v>0.5</v>
      </c>
      <c r="L131" s="17">
        <f>PRODUCT(H131:K131)</f>
        <v>0.004464285714285714</v>
      </c>
      <c r="M131" s="17">
        <f>G131*L131</f>
        <v>0.04397321428571428</v>
      </c>
      <c r="N131" s="17">
        <f>IF(K131=0,H131*I131,L131)</f>
        <v>0.004464285714285714</v>
      </c>
      <c r="O131" s="17">
        <f>G131*N131</f>
        <v>0.04397321428571428</v>
      </c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</row>
    <row r="132">
      <c r="A132" s="15" t="inlineStr">
        <is>
          <t>4月</t>
        </is>
      </c>
      <c r="B132" s="15" t="inlineStr">
        <is>
          <t>五、酒店客户</t>
        </is>
      </c>
      <c r="C132" s="15" t="inlineStr">
        <is>
          <t>酒店餐饮客户</t>
        </is>
      </c>
      <c r="D132" s="15" t="inlineStr">
        <is>
          <t>酒店宴会</t>
        </is>
      </c>
      <c r="E132" s="15" t="inlineStr">
        <is>
          <t>硬件设施</t>
        </is>
      </c>
      <c r="F132" s="15" t="inlineStr">
        <is>
          <t>硬件设施</t>
        </is>
      </c>
      <c r="G132" s="17" t="n">
        <v>9.35</v>
      </c>
      <c r="H132" s="17" t="n">
        <v>0.125</v>
      </c>
      <c r="I132" s="17" t="n">
        <v>0.07142857142857142</v>
      </c>
      <c r="J132" s="17" t="n">
        <v>1</v>
      </c>
      <c r="K132" s="17" t="n">
        <v>0.5</v>
      </c>
      <c r="L132" s="17">
        <f>PRODUCT(H132:K132)</f>
        <v>0.004464285714285714</v>
      </c>
      <c r="M132" s="17">
        <f>G132*L132</f>
        <v>0.041741071428571426</v>
      </c>
      <c r="N132" s="17">
        <f>IF(K132=0,H132*I132,L132)</f>
        <v>0.004464285714285714</v>
      </c>
      <c r="O132" s="17">
        <f>G132*N132</f>
        <v>0.041741071428571426</v>
      </c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</row>
    <row r="133">
      <c r="A133" s="15" t="inlineStr">
        <is>
          <t>5月</t>
        </is>
      </c>
      <c r="B133" s="15" t="inlineStr">
        <is>
          <t>一、会展客户</t>
        </is>
      </c>
      <c r="C133" s="15" t="inlineStr">
        <is>
          <t>展览活动主（承）办</t>
        </is>
      </c>
      <c r="D133" s="15" t="inlineStr">
        <is>
          <t>展览主承办</t>
        </is>
      </c>
      <c r="E133" s="15" t="inlineStr">
        <is>
          <t>会展服务</t>
        </is>
      </c>
      <c r="F133" s="15" t="inlineStr">
        <is>
          <t>产品服务</t>
        </is>
      </c>
      <c r="G133" s="17" t="n">
        <v>9.92</v>
      </c>
      <c r="H133" s="17" t="n">
        <v>0.125</v>
      </c>
      <c r="I133" s="17" t="n">
        <v>0.06666666666666667</v>
      </c>
      <c r="J133" s="17" t="n">
        <v>1</v>
      </c>
      <c r="K133" s="17" t="n">
        <v>0.3333333333333333</v>
      </c>
      <c r="L133" s="17">
        <f>PRODUCT(H133:K133)</f>
        <v>0.0027777777777777775</v>
      </c>
      <c r="M133" s="17">
        <f>G133*L133</f>
        <v>0.027555555555555552</v>
      </c>
      <c r="N133" s="17">
        <f>IF(K133=0,H133*I133,L133)</f>
        <v>0.0027777777777777775</v>
      </c>
      <c r="O133" s="17">
        <f>G133*N133</f>
        <v>0.027555555555555552</v>
      </c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</row>
    <row r="134">
      <c r="A134" s="15" t="inlineStr">
        <is>
          <t>5月</t>
        </is>
      </c>
      <c r="B134" s="15" t="inlineStr">
        <is>
          <t>一、会展客户</t>
        </is>
      </c>
      <c r="C134" s="15" t="inlineStr">
        <is>
          <t>展览活动主（承）办</t>
        </is>
      </c>
      <c r="D134" s="15" t="inlineStr">
        <is>
          <t>展览主承办</t>
        </is>
      </c>
      <c r="E134" s="15" t="inlineStr">
        <is>
          <t>硬件设施</t>
        </is>
      </c>
      <c r="F134" s="15" t="inlineStr">
        <is>
          <t>硬件设施</t>
        </is>
      </c>
      <c r="G134" s="17" t="n">
        <v>9.83</v>
      </c>
      <c r="H134" s="17" t="n">
        <v>0.125</v>
      </c>
      <c r="I134" s="17" t="n">
        <v>0.06666666666666667</v>
      </c>
      <c r="J134" s="17" t="n">
        <v>1</v>
      </c>
      <c r="K134" s="17" t="n">
        <v>0.3333333333333333</v>
      </c>
      <c r="L134" s="17">
        <f>PRODUCT(H134:K134)</f>
        <v>0.0027777777777777775</v>
      </c>
      <c r="M134" s="17">
        <f>G134*L134</f>
        <v>0.02730555555555555</v>
      </c>
      <c r="N134" s="17">
        <f>IF(K134=0,H134*I134,L134)</f>
        <v>0.0027777777777777775</v>
      </c>
      <c r="O134" s="17">
        <f>G134*N134</f>
        <v>0.02730555555555555</v>
      </c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</row>
    <row r="135">
      <c r="A135" s="15" t="inlineStr">
        <is>
          <t>5月</t>
        </is>
      </c>
      <c r="B135" s="15" t="inlineStr">
        <is>
          <t>一、会展客户</t>
        </is>
      </c>
      <c r="C135" s="15" t="inlineStr">
        <is>
          <t>展览活动主（承）办</t>
        </is>
      </c>
      <c r="D135" s="15" t="inlineStr">
        <is>
          <t>展览主承办</t>
        </is>
      </c>
      <c r="E135" s="15" t="inlineStr">
        <is>
          <t>配套服务</t>
        </is>
      </c>
      <c r="F135" s="15" t="inlineStr">
        <is>
          <t>配套服务</t>
        </is>
      </c>
      <c r="G135" s="17" t="n">
        <v>9.880000000000001</v>
      </c>
      <c r="H135" s="17" t="n">
        <v>0.125</v>
      </c>
      <c r="I135" s="17" t="n">
        <v>0.06666666666666667</v>
      </c>
      <c r="J135" s="17" t="n">
        <v>1</v>
      </c>
      <c r="K135" s="17" t="n">
        <v>0.3333333333333333</v>
      </c>
      <c r="L135" s="17">
        <f>PRODUCT(H135:K135)</f>
        <v>0.0027777777777777775</v>
      </c>
      <c r="M135" s="17">
        <f>G135*L135</f>
        <v>0.027444444444444445</v>
      </c>
      <c r="N135" s="17">
        <f>IF(K135=0,H135*I135,L135)</f>
        <v>0.0027777777777777775</v>
      </c>
      <c r="O135" s="17">
        <f>G135*N135</f>
        <v>0.027444444444444445</v>
      </c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</row>
    <row r="136">
      <c r="A136" s="15" t="inlineStr">
        <is>
          <t>5月</t>
        </is>
      </c>
      <c r="B136" s="15" t="inlineStr">
        <is>
          <t>一、会展客户</t>
        </is>
      </c>
      <c r="C136" s="15" t="inlineStr">
        <is>
          <t>展览活动主（承）办</t>
        </is>
      </c>
      <c r="D136" s="15" t="inlineStr">
        <is>
          <t>配套服务子项</t>
        </is>
      </c>
      <c r="E136" s="15" t="inlineStr">
        <is>
          <t>其中：餐饮服务</t>
        </is>
      </c>
      <c r="F136" s="15" t="inlineStr">
        <is>
          <t>餐饮服务</t>
        </is>
      </c>
      <c r="G136" s="17" t="n">
        <v>9.5</v>
      </c>
      <c r="H136" s="17" t="n">
        <v>0.125</v>
      </c>
      <c r="I136" s="17" t="n">
        <v>0.06666666666666667</v>
      </c>
      <c r="J136" s="17" t="n">
        <v>1</v>
      </c>
      <c r="K136" s="17" t="n">
        <v>0</v>
      </c>
      <c r="L136" s="17">
        <f>PRODUCT(H136:K136)</f>
        <v>0.0</v>
      </c>
      <c r="M136" s="17">
        <f>G136*L136</f>
        <v>0.0</v>
      </c>
      <c r="N136" s="17">
        <f>IF(K136=0,H136*I136,L136)</f>
        <v>0.008333333333333333</v>
      </c>
      <c r="O136" s="17">
        <f>G136*N136</f>
        <v>0.07916666666666666</v>
      </c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</row>
    <row r="137">
      <c r="A137" s="15" t="inlineStr">
        <is>
          <t>5月</t>
        </is>
      </c>
      <c r="B137" s="15" t="inlineStr">
        <is>
          <t>一、会展客户</t>
        </is>
      </c>
      <c r="C137" s="15" t="inlineStr">
        <is>
          <t>参展商</t>
        </is>
      </c>
      <c r="D137" s="15" t="inlineStr">
        <is>
          <t>参展商</t>
        </is>
      </c>
      <c r="E137" s="15" t="inlineStr">
        <is>
          <t>会场服务</t>
        </is>
      </c>
      <c r="F137" s="15" t="inlineStr">
        <is>
          <t>产品服务</t>
        </is>
      </c>
      <c r="G137" s="17" t="n">
        <v>9.9</v>
      </c>
      <c r="H137" s="17" t="n">
        <v>0.125</v>
      </c>
      <c r="I137" s="17" t="n">
        <v>0.06666666666666667</v>
      </c>
      <c r="J137" s="17" t="n">
        <v>1</v>
      </c>
      <c r="K137" s="17" t="n">
        <v>0.3333333333333333</v>
      </c>
      <c r="L137" s="17">
        <f>PRODUCT(H137:K137)</f>
        <v>0.0027777777777777775</v>
      </c>
      <c r="M137" s="17">
        <f>G137*L137</f>
        <v>0.027499999999999997</v>
      </c>
      <c r="N137" s="17">
        <f>IF(K137=0,H137*I137,L137)</f>
        <v>0.0027777777777777775</v>
      </c>
      <c r="O137" s="17">
        <f>G137*N137</f>
        <v>0.027499999999999997</v>
      </c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</row>
    <row r="138">
      <c r="A138" s="15" t="inlineStr">
        <is>
          <t>5月</t>
        </is>
      </c>
      <c r="B138" s="15" t="inlineStr">
        <is>
          <t>一、会展客户</t>
        </is>
      </c>
      <c r="C138" s="15" t="inlineStr">
        <is>
          <t>参展商</t>
        </is>
      </c>
      <c r="D138" s="15" t="inlineStr">
        <is>
          <t>参展商</t>
        </is>
      </c>
      <c r="E138" s="15" t="inlineStr">
        <is>
          <t>硬件设施</t>
        </is>
      </c>
      <c r="F138" s="15" t="inlineStr">
        <is>
          <t>硬件设施</t>
        </is>
      </c>
      <c r="G138" s="17" t="n">
        <v>9.109999999999999</v>
      </c>
      <c r="H138" s="17" t="n">
        <v>0.125</v>
      </c>
      <c r="I138" s="17" t="n">
        <v>0.06666666666666667</v>
      </c>
      <c r="J138" s="17" t="n">
        <v>1</v>
      </c>
      <c r="K138" s="17" t="n">
        <v>0.3333333333333333</v>
      </c>
      <c r="L138" s="17">
        <f>PRODUCT(H138:K138)</f>
        <v>0.0027777777777777775</v>
      </c>
      <c r="M138" s="17">
        <f>G138*L138</f>
        <v>0.02530555555555555</v>
      </c>
      <c r="N138" s="17">
        <f>IF(K138=0,H138*I138,L138)</f>
        <v>0.0027777777777777775</v>
      </c>
      <c r="O138" s="17">
        <f>G138*N138</f>
        <v>0.02530555555555555</v>
      </c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</row>
    <row r="139">
      <c r="A139" s="15" t="inlineStr">
        <is>
          <t>5月</t>
        </is>
      </c>
      <c r="B139" s="15" t="inlineStr">
        <is>
          <t>一、会展客户</t>
        </is>
      </c>
      <c r="C139" s="15" t="inlineStr">
        <is>
          <t>参展商</t>
        </is>
      </c>
      <c r="D139" s="15" t="inlineStr">
        <is>
          <t>参展商</t>
        </is>
      </c>
      <c r="E139" s="15" t="inlineStr">
        <is>
          <t>配套服务</t>
        </is>
      </c>
      <c r="F139" s="15" t="inlineStr">
        <is>
          <t>配套服务</t>
        </is>
      </c>
      <c r="G139" s="17" t="n">
        <v>9.9</v>
      </c>
      <c r="H139" s="17" t="n">
        <v>0.125</v>
      </c>
      <c r="I139" s="17" t="n">
        <v>0.06666666666666667</v>
      </c>
      <c r="J139" s="17" t="n">
        <v>1</v>
      </c>
      <c r="K139" s="17" t="n">
        <v>0.3333333333333333</v>
      </c>
      <c r="L139" s="17">
        <f>PRODUCT(H139:K139)</f>
        <v>0.0027777777777777775</v>
      </c>
      <c r="M139" s="17">
        <f>G139*L139</f>
        <v>0.027499999999999997</v>
      </c>
      <c r="N139" s="17">
        <f>IF(K139=0,H139*I139,L139)</f>
        <v>0.0027777777777777775</v>
      </c>
      <c r="O139" s="17">
        <f>G139*N139</f>
        <v>0.027499999999999997</v>
      </c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</row>
    <row r="140">
      <c r="A140" s="15" t="inlineStr">
        <is>
          <t>5月</t>
        </is>
      </c>
      <c r="B140" s="15" t="inlineStr">
        <is>
          <t>一、会展客户</t>
        </is>
      </c>
      <c r="C140" s="15" t="inlineStr">
        <is>
          <t>参展商</t>
        </is>
      </c>
      <c r="D140" s="15" t="inlineStr">
        <is>
          <t>配套服务子项</t>
        </is>
      </c>
      <c r="E140" s="15" t="inlineStr">
        <is>
          <t>其中：餐饮服务</t>
        </is>
      </c>
      <c r="F140" s="15" t="inlineStr">
        <is>
          <t>餐饮服务</t>
        </is>
      </c>
      <c r="G140" s="17" t="n">
        <v>9.6</v>
      </c>
      <c r="H140" s="17" t="n">
        <v>0.125</v>
      </c>
      <c r="I140" s="17" t="n">
        <v>0.06666666666666667</v>
      </c>
      <c r="J140" s="17" t="n">
        <v>1</v>
      </c>
      <c r="K140" s="17" t="n">
        <v>0</v>
      </c>
      <c r="L140" s="17">
        <f>PRODUCT(H140:K140)</f>
        <v>0.0</v>
      </c>
      <c r="M140" s="17">
        <f>G140*L140</f>
        <v>0.0</v>
      </c>
      <c r="N140" s="17">
        <f>IF(K140=0,H140*I140,L140)</f>
        <v>0.008333333333333333</v>
      </c>
      <c r="O140" s="17">
        <f>G140*N140</f>
        <v>0.08</v>
      </c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</row>
    <row r="141">
      <c r="A141" s="15" t="inlineStr">
        <is>
          <t>5月</t>
        </is>
      </c>
      <c r="B141" s="15" t="inlineStr">
        <is>
          <t>一、会展客户</t>
        </is>
      </c>
      <c r="C141" s="15" t="inlineStr">
        <is>
          <t>专业观众</t>
        </is>
      </c>
      <c r="D141" s="15" t="inlineStr">
        <is>
          <t>专业观众</t>
        </is>
      </c>
      <c r="E141" s="15" t="inlineStr">
        <is>
          <t>会展服务</t>
        </is>
      </c>
      <c r="F141" s="15" t="inlineStr">
        <is>
          <t>产品服务</t>
        </is>
      </c>
      <c r="G141" s="17" t="n">
        <v>10</v>
      </c>
      <c r="H141" s="17" t="n">
        <v>0.125</v>
      </c>
      <c r="I141" s="17" t="n">
        <v>0.06666666666666667</v>
      </c>
      <c r="J141" s="17" t="n">
        <v>1</v>
      </c>
      <c r="K141" s="17" t="n">
        <v>0.3333333333333333</v>
      </c>
      <c r="L141" s="17">
        <f>PRODUCT(H141:K141)</f>
        <v>0.0027777777777777775</v>
      </c>
      <c r="M141" s="17">
        <f>G141*L141</f>
        <v>0.027777777777777776</v>
      </c>
      <c r="N141" s="17">
        <f>IF(K141=0,H141*I141,L141)</f>
        <v>0.0027777777777777775</v>
      </c>
      <c r="O141" s="17">
        <f>G141*N141</f>
        <v>0.027777777777777776</v>
      </c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</row>
    <row r="142">
      <c r="A142" s="15" t="inlineStr">
        <is>
          <t>5月</t>
        </is>
      </c>
      <c r="B142" s="15" t="inlineStr">
        <is>
          <t>一、会展客户</t>
        </is>
      </c>
      <c r="C142" s="15" t="inlineStr">
        <is>
          <t>专业观众</t>
        </is>
      </c>
      <c r="D142" s="15" t="inlineStr">
        <is>
          <t>专业观众</t>
        </is>
      </c>
      <c r="E142" s="15" t="inlineStr">
        <is>
          <t>硬件设施</t>
        </is>
      </c>
      <c r="F142" s="15" t="inlineStr">
        <is>
          <t>硬件设施</t>
        </is>
      </c>
      <c r="G142" s="17" t="n">
        <v>9.44</v>
      </c>
      <c r="H142" s="17" t="n">
        <v>0.125</v>
      </c>
      <c r="I142" s="17" t="n">
        <v>0.06666666666666667</v>
      </c>
      <c r="J142" s="17" t="n">
        <v>1</v>
      </c>
      <c r="K142" s="17" t="n">
        <v>0.3333333333333333</v>
      </c>
      <c r="L142" s="17">
        <f>PRODUCT(H142:K142)</f>
        <v>0.0027777777777777775</v>
      </c>
      <c r="M142" s="17">
        <f>G142*L142</f>
        <v>0.026222222222222216</v>
      </c>
      <c r="N142" s="17">
        <f>IF(K142=0,H142*I142,L142)</f>
        <v>0.0027777777777777775</v>
      </c>
      <c r="O142" s="17">
        <f>G142*N142</f>
        <v>0.026222222222222216</v>
      </c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</row>
    <row r="143">
      <c r="A143" s="15" t="inlineStr">
        <is>
          <t>5月</t>
        </is>
      </c>
      <c r="B143" s="15" t="inlineStr">
        <is>
          <t>一、会展客户</t>
        </is>
      </c>
      <c r="C143" s="15" t="inlineStr">
        <is>
          <t>专业观众</t>
        </is>
      </c>
      <c r="D143" s="15" t="inlineStr">
        <is>
          <t>专业观众</t>
        </is>
      </c>
      <c r="E143" s="15" t="inlineStr">
        <is>
          <t>配套服务</t>
        </is>
      </c>
      <c r="F143" s="15" t="inlineStr">
        <is>
          <t>配套服务</t>
        </is>
      </c>
      <c r="G143" s="17" t="n">
        <v>9.800000000000001</v>
      </c>
      <c r="H143" s="17" t="n">
        <v>0.125</v>
      </c>
      <c r="I143" s="17" t="n">
        <v>0.06666666666666667</v>
      </c>
      <c r="J143" s="17" t="n">
        <v>1</v>
      </c>
      <c r="K143" s="17" t="n">
        <v>0.3333333333333333</v>
      </c>
      <c r="L143" s="17">
        <f>PRODUCT(H143:K143)</f>
        <v>0.0027777777777777775</v>
      </c>
      <c r="M143" s="17">
        <f>G143*L143</f>
        <v>0.02722222222222222</v>
      </c>
      <c r="N143" s="17">
        <f>IF(K143=0,H143*I143,L143)</f>
        <v>0.0027777777777777775</v>
      </c>
      <c r="O143" s="17">
        <f>G143*N143</f>
        <v>0.02722222222222222</v>
      </c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</row>
    <row r="144">
      <c r="A144" s="15" t="inlineStr">
        <is>
          <t>5月</t>
        </is>
      </c>
      <c r="B144" s="15" t="inlineStr">
        <is>
          <t>一、会展客户</t>
        </is>
      </c>
      <c r="C144" s="15" t="inlineStr">
        <is>
          <t>专业观众</t>
        </is>
      </c>
      <c r="D144" s="15" t="inlineStr">
        <is>
          <t>配套服务子项</t>
        </is>
      </c>
      <c r="E144" s="15" t="inlineStr">
        <is>
          <t>其中：餐饮服务</t>
        </is>
      </c>
      <c r="F144" s="15" t="inlineStr">
        <is>
          <t>餐饮服务</t>
        </is>
      </c>
      <c r="G144" s="17" t="n">
        <v>9.199999999999999</v>
      </c>
      <c r="H144" s="17" t="n">
        <v>0.125</v>
      </c>
      <c r="I144" s="17" t="n">
        <v>0.06666666666666667</v>
      </c>
      <c r="J144" s="17" t="n">
        <v>1</v>
      </c>
      <c r="K144" s="17" t="n">
        <v>0</v>
      </c>
      <c r="L144" s="17">
        <f>PRODUCT(H144:K144)</f>
        <v>0.0</v>
      </c>
      <c r="M144" s="17">
        <f>G144*L144</f>
        <v>0.0</v>
      </c>
      <c r="N144" s="17">
        <f>IF(K144=0,H144*I144,L144)</f>
        <v>0.008333333333333333</v>
      </c>
      <c r="O144" s="17">
        <f>G144*N144</f>
        <v>0.07666666666666666</v>
      </c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</row>
    <row r="145">
      <c r="A145" s="15" t="inlineStr">
        <is>
          <t>5月</t>
        </is>
      </c>
      <c r="B145" s="15" t="inlineStr">
        <is>
          <t>一、会展客户</t>
        </is>
      </c>
      <c r="C145" s="15" t="inlineStr">
        <is>
          <t>会展服务商</t>
        </is>
      </c>
      <c r="D145" s="15" t="inlineStr">
        <is>
          <t>会展服务商</t>
        </is>
      </c>
      <c r="E145" s="15" t="inlineStr">
        <is>
          <t>会展服务</t>
        </is>
      </c>
      <c r="F145" s="15" t="inlineStr">
        <is>
          <t>产品服务</t>
        </is>
      </c>
      <c r="G145" s="17" t="n">
        <v>10</v>
      </c>
      <c r="H145" s="17" t="n">
        <v>0.125</v>
      </c>
      <c r="I145" s="17" t="n">
        <v>0.06666666666666667</v>
      </c>
      <c r="J145" s="17" t="n">
        <v>1</v>
      </c>
      <c r="K145" s="17" t="n">
        <v>0.3333333333333333</v>
      </c>
      <c r="L145" s="17">
        <f>PRODUCT(H145:K145)</f>
        <v>0.0027777777777777775</v>
      </c>
      <c r="M145" s="17">
        <f>G145*L145</f>
        <v>0.027777777777777776</v>
      </c>
      <c r="N145" s="17">
        <f>IF(K145=0,H145*I145,L145)</f>
        <v>0.0027777777777777775</v>
      </c>
      <c r="O145" s="17">
        <f>G145*N145</f>
        <v>0.027777777777777776</v>
      </c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</row>
    <row r="146">
      <c r="A146" s="15" t="inlineStr">
        <is>
          <t>5月</t>
        </is>
      </c>
      <c r="B146" s="15" t="inlineStr">
        <is>
          <t>一、会展客户</t>
        </is>
      </c>
      <c r="C146" s="15" t="inlineStr">
        <is>
          <t>会展服务商</t>
        </is>
      </c>
      <c r="D146" s="15" t="inlineStr">
        <is>
          <t>会展服务商</t>
        </is>
      </c>
      <c r="E146" s="15" t="inlineStr">
        <is>
          <t>硬件设施</t>
        </is>
      </c>
      <c r="F146" s="15" t="inlineStr">
        <is>
          <t>硬件设施</t>
        </is>
      </c>
      <c r="G146" s="17" t="n">
        <v>10</v>
      </c>
      <c r="H146" s="17" t="n">
        <v>0.125</v>
      </c>
      <c r="I146" s="17" t="n">
        <v>0.06666666666666667</v>
      </c>
      <c r="J146" s="17" t="n">
        <v>1</v>
      </c>
      <c r="K146" s="17" t="n">
        <v>0.3333333333333333</v>
      </c>
      <c r="L146" s="17">
        <f>PRODUCT(H146:K146)</f>
        <v>0.0027777777777777775</v>
      </c>
      <c r="M146" s="17">
        <f>G146*L146</f>
        <v>0.027777777777777776</v>
      </c>
      <c r="N146" s="17">
        <f>IF(K146=0,H146*I146,L146)</f>
        <v>0.0027777777777777775</v>
      </c>
      <c r="O146" s="17">
        <f>G146*N146</f>
        <v>0.027777777777777776</v>
      </c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</row>
    <row r="147">
      <c r="A147" s="15" t="inlineStr">
        <is>
          <t>5月</t>
        </is>
      </c>
      <c r="B147" s="15" t="inlineStr">
        <is>
          <t>一、会展客户</t>
        </is>
      </c>
      <c r="C147" s="15" t="inlineStr">
        <is>
          <t>会展服务商</t>
        </is>
      </c>
      <c r="D147" s="15" t="inlineStr">
        <is>
          <t>会展服务商</t>
        </is>
      </c>
      <c r="E147" s="15" t="inlineStr">
        <is>
          <t>配套服务</t>
        </is>
      </c>
      <c r="F147" s="15" t="inlineStr">
        <is>
          <t>配套服务</t>
        </is>
      </c>
      <c r="G147" s="17" t="n">
        <v>10</v>
      </c>
      <c r="H147" s="17" t="n">
        <v>0.125</v>
      </c>
      <c r="I147" s="17" t="n">
        <v>0.06666666666666667</v>
      </c>
      <c r="J147" s="17" t="n">
        <v>1</v>
      </c>
      <c r="K147" s="17" t="n">
        <v>0.3333333333333333</v>
      </c>
      <c r="L147" s="17">
        <f>PRODUCT(H147:K147)</f>
        <v>0.0027777777777777775</v>
      </c>
      <c r="M147" s="17">
        <f>G147*L147</f>
        <v>0.027777777777777776</v>
      </c>
      <c r="N147" s="17">
        <f>IF(K147=0,H147*I147,L147)</f>
        <v>0.0027777777777777775</v>
      </c>
      <c r="O147" s="17">
        <f>G147*N147</f>
        <v>0.027777777777777776</v>
      </c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</row>
    <row r="148">
      <c r="A148" s="15" t="inlineStr">
        <is>
          <t>5月</t>
        </is>
      </c>
      <c r="B148" s="15" t="inlineStr">
        <is>
          <t>一、会展客户</t>
        </is>
      </c>
      <c r="C148" s="15" t="inlineStr">
        <is>
          <t>会展服务商</t>
        </is>
      </c>
      <c r="D148" s="15" t="inlineStr">
        <is>
          <t>配套服务子项</t>
        </is>
      </c>
      <c r="E148" s="15" t="inlineStr">
        <is>
          <t>其中：餐饮服务</t>
        </is>
      </c>
      <c r="F148" s="15" t="inlineStr">
        <is>
          <t>餐饮服务</t>
        </is>
      </c>
      <c r="G148" s="17" t="n">
        <v>10</v>
      </c>
      <c r="H148" s="17" t="n">
        <v>0.125</v>
      </c>
      <c r="I148" s="17" t="n">
        <v>0.06666666666666667</v>
      </c>
      <c r="J148" s="17" t="n">
        <v>1</v>
      </c>
      <c r="K148" s="17" t="n">
        <v>0</v>
      </c>
      <c r="L148" s="17">
        <f>PRODUCT(H148:K148)</f>
        <v>0.0</v>
      </c>
      <c r="M148" s="17">
        <f>G148*L148</f>
        <v>0.0</v>
      </c>
      <c r="N148" s="17">
        <f>IF(K148=0,H148*I148,L148)</f>
        <v>0.008333333333333333</v>
      </c>
      <c r="O148" s="17">
        <f>G148*N148</f>
        <v>0.08333333333333333</v>
      </c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</row>
    <row r="149">
      <c r="A149" s="15" t="inlineStr">
        <is>
          <t>5月</t>
        </is>
      </c>
      <c r="B149" s="15" t="inlineStr">
        <is>
          <t>一、会展客户</t>
        </is>
      </c>
      <c r="C149" s="15" t="inlineStr">
        <is>
          <t>会议活动主（承）办</t>
        </is>
      </c>
      <c r="D149" s="15" t="inlineStr">
        <is>
          <t>会议主承办</t>
        </is>
      </c>
      <c r="E149" s="15" t="inlineStr">
        <is>
          <t>会展服务</t>
        </is>
      </c>
      <c r="F149" s="15" t="inlineStr">
        <is>
          <t>产品服务</t>
        </is>
      </c>
      <c r="G149" s="17" t="n">
        <v>9.99</v>
      </c>
      <c r="H149" s="17" t="n">
        <v>0.125</v>
      </c>
      <c r="I149" s="17" t="n">
        <v>0.06666666666666667</v>
      </c>
      <c r="J149" s="17" t="n">
        <v>1</v>
      </c>
      <c r="K149" s="17" t="n">
        <v>0.3333333333333333</v>
      </c>
      <c r="L149" s="17">
        <f>PRODUCT(H149:K149)</f>
        <v>0.0027777777777777775</v>
      </c>
      <c r="M149" s="17">
        <f>G149*L149</f>
        <v>0.027749999999999997</v>
      </c>
      <c r="N149" s="17">
        <f>IF(K149=0,H149*I149,L149)</f>
        <v>0.0027777777777777775</v>
      </c>
      <c r="O149" s="17">
        <f>G149*N149</f>
        <v>0.027749999999999997</v>
      </c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</row>
    <row r="150">
      <c r="A150" s="15" t="inlineStr">
        <is>
          <t>5月</t>
        </is>
      </c>
      <c r="B150" s="15" t="inlineStr">
        <is>
          <t>一、会展客户</t>
        </is>
      </c>
      <c r="C150" s="15" t="inlineStr">
        <is>
          <t>会议活动主（承）办</t>
        </is>
      </c>
      <c r="D150" s="15" t="inlineStr">
        <is>
          <t>会议主承办</t>
        </is>
      </c>
      <c r="E150" s="15" t="inlineStr">
        <is>
          <t>硬件设施</t>
        </is>
      </c>
      <c r="F150" s="15" t="inlineStr">
        <is>
          <t>硬件设施</t>
        </is>
      </c>
      <c r="G150" s="17" t="n">
        <v>9.539999999999999</v>
      </c>
      <c r="H150" s="17" t="n">
        <v>0.125</v>
      </c>
      <c r="I150" s="17" t="n">
        <v>0.06666666666666667</v>
      </c>
      <c r="J150" s="17" t="n">
        <v>1</v>
      </c>
      <c r="K150" s="17" t="n">
        <v>0.3333333333333333</v>
      </c>
      <c r="L150" s="17">
        <f>PRODUCT(H150:K150)</f>
        <v>0.0027777777777777775</v>
      </c>
      <c r="M150" s="17">
        <f>G150*L150</f>
        <v>0.026499999999999996</v>
      </c>
      <c r="N150" s="17">
        <f>IF(K150=0,H150*I150,L150)</f>
        <v>0.0027777777777777775</v>
      </c>
      <c r="O150" s="17">
        <f>G150*N150</f>
        <v>0.026499999999999996</v>
      </c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</row>
    <row r="151">
      <c r="A151" s="15" t="inlineStr">
        <is>
          <t>5月</t>
        </is>
      </c>
      <c r="B151" s="15" t="inlineStr">
        <is>
          <t>一、会展客户</t>
        </is>
      </c>
      <c r="C151" s="15" t="inlineStr">
        <is>
          <t>会议活动主（承）办</t>
        </is>
      </c>
      <c r="D151" s="15" t="inlineStr">
        <is>
          <t>会议主承办</t>
        </is>
      </c>
      <c r="E151" s="15" t="inlineStr">
        <is>
          <t>配套服务</t>
        </is>
      </c>
      <c r="F151" s="15" t="inlineStr">
        <is>
          <t>配套服务</t>
        </is>
      </c>
      <c r="G151" s="17" t="n">
        <v>9.609999999999999</v>
      </c>
      <c r="H151" s="17" t="n">
        <v>0.125</v>
      </c>
      <c r="I151" s="17" t="n">
        <v>0.06666666666666667</v>
      </c>
      <c r="J151" s="17" t="n">
        <v>1</v>
      </c>
      <c r="K151" s="17" t="n">
        <v>0.3333333333333333</v>
      </c>
      <c r="L151" s="17">
        <f>PRODUCT(H151:K151)</f>
        <v>0.0027777777777777775</v>
      </c>
      <c r="M151" s="17">
        <f>G151*L151</f>
        <v>0.02669444444444444</v>
      </c>
      <c r="N151" s="17">
        <f>IF(K151=0,H151*I151,L151)</f>
        <v>0.0027777777777777775</v>
      </c>
      <c r="O151" s="17">
        <f>G151*N151</f>
        <v>0.02669444444444444</v>
      </c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</row>
    <row r="152">
      <c r="A152" s="15" t="inlineStr">
        <is>
          <t>5月</t>
        </is>
      </c>
      <c r="B152" s="15" t="inlineStr">
        <is>
          <t>一、会展客户</t>
        </is>
      </c>
      <c r="C152" s="15" t="inlineStr">
        <is>
          <t>会议活动主（承）办</t>
        </is>
      </c>
      <c r="D152" s="15" t="inlineStr">
        <is>
          <t>配套服务子项</t>
        </is>
      </c>
      <c r="E152" s="15" t="inlineStr">
        <is>
          <t>其中：餐饮服务</t>
        </is>
      </c>
      <c r="F152" s="15" t="inlineStr">
        <is>
          <t>餐饮服务</t>
        </is>
      </c>
      <c r="G152" s="17" t="n">
        <v>8.800000000000001</v>
      </c>
      <c r="H152" s="17" t="n">
        <v>0.125</v>
      </c>
      <c r="I152" s="17" t="n">
        <v>0.06666666666666667</v>
      </c>
      <c r="J152" s="17" t="n">
        <v>1</v>
      </c>
      <c r="K152" s="17" t="n">
        <v>0</v>
      </c>
      <c r="L152" s="17">
        <f>PRODUCT(H152:K152)</f>
        <v>0.0</v>
      </c>
      <c r="M152" s="17">
        <f>G152*L152</f>
        <v>0.0</v>
      </c>
      <c r="N152" s="17">
        <f>IF(K152=0,H152*I152,L152)</f>
        <v>0.008333333333333333</v>
      </c>
      <c r="O152" s="17">
        <f>G152*N152</f>
        <v>0.07333333333333333</v>
      </c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</row>
    <row r="153">
      <c r="A153" s="15" t="inlineStr">
        <is>
          <t>5月</t>
        </is>
      </c>
      <c r="B153" s="15" t="inlineStr">
        <is>
          <t>一、会展客户</t>
        </is>
      </c>
      <c r="C153" s="15" t="inlineStr">
        <is>
          <t>参会客户</t>
        </is>
      </c>
      <c r="D153" s="15" t="inlineStr">
        <is>
          <t>参会人员</t>
        </is>
      </c>
      <c r="E153" s="15" t="inlineStr">
        <is>
          <t>会展服务</t>
        </is>
      </c>
      <c r="F153" s="15" t="inlineStr">
        <is>
          <t>产品服务</t>
        </is>
      </c>
      <c r="G153" s="17" t="n">
        <v>10</v>
      </c>
      <c r="H153" s="17" t="n">
        <v>0.125</v>
      </c>
      <c r="I153" s="17" t="n">
        <v>0.06666666666666667</v>
      </c>
      <c r="J153" s="17" t="n">
        <v>1</v>
      </c>
      <c r="K153" s="17" t="n">
        <v>0.3333333333333333</v>
      </c>
      <c r="L153" s="17">
        <f>PRODUCT(H153:K153)</f>
        <v>0.0027777777777777775</v>
      </c>
      <c r="M153" s="17">
        <f>G153*L153</f>
        <v>0.027777777777777776</v>
      </c>
      <c r="N153" s="17">
        <f>IF(K153=0,H153*I153,L153)</f>
        <v>0.0027777777777777775</v>
      </c>
      <c r="O153" s="17">
        <f>G153*N153</f>
        <v>0.027777777777777776</v>
      </c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</row>
    <row r="154">
      <c r="A154" s="15" t="inlineStr">
        <is>
          <t>5月</t>
        </is>
      </c>
      <c r="B154" s="15" t="inlineStr">
        <is>
          <t>一、会展客户</t>
        </is>
      </c>
      <c r="C154" s="15" t="inlineStr">
        <is>
          <t>参会客户</t>
        </is>
      </c>
      <c r="D154" s="15" t="inlineStr">
        <is>
          <t>参会人员</t>
        </is>
      </c>
      <c r="E154" s="15" t="inlineStr">
        <is>
          <t>硬件设施</t>
        </is>
      </c>
      <c r="F154" s="15" t="inlineStr">
        <is>
          <t>硬件设施</t>
        </is>
      </c>
      <c r="G154" s="17" t="n">
        <v>9.529999999999999</v>
      </c>
      <c r="H154" s="17" t="n">
        <v>0.125</v>
      </c>
      <c r="I154" s="17" t="n">
        <v>0.06666666666666667</v>
      </c>
      <c r="J154" s="17" t="n">
        <v>1</v>
      </c>
      <c r="K154" s="17" t="n">
        <v>0.3333333333333333</v>
      </c>
      <c r="L154" s="17">
        <f>PRODUCT(H154:K154)</f>
        <v>0.0027777777777777775</v>
      </c>
      <c r="M154" s="17">
        <f>G154*L154</f>
        <v>0.026472222222222216</v>
      </c>
      <c r="N154" s="17">
        <f>IF(K154=0,H154*I154,L154)</f>
        <v>0.0027777777777777775</v>
      </c>
      <c r="O154" s="17">
        <f>G154*N154</f>
        <v>0.026472222222222216</v>
      </c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</row>
    <row r="155">
      <c r="A155" s="15" t="inlineStr">
        <is>
          <t>5月</t>
        </is>
      </c>
      <c r="B155" s="15" t="inlineStr">
        <is>
          <t>一、会展客户</t>
        </is>
      </c>
      <c r="C155" s="15" t="inlineStr">
        <is>
          <t>参会客户</t>
        </is>
      </c>
      <c r="D155" s="15" t="inlineStr">
        <is>
          <t>参会人员</t>
        </is>
      </c>
      <c r="E155" s="15" t="inlineStr">
        <is>
          <t>配套服务</t>
        </is>
      </c>
      <c r="F155" s="15" t="inlineStr">
        <is>
          <t>配套服务</t>
        </is>
      </c>
      <c r="G155" s="17" t="n">
        <v>9.869999999999999</v>
      </c>
      <c r="H155" s="17" t="n">
        <v>0.125</v>
      </c>
      <c r="I155" s="17" t="n">
        <v>0.06666666666666667</v>
      </c>
      <c r="J155" s="17" t="n">
        <v>1</v>
      </c>
      <c r="K155" s="17" t="n">
        <v>0.3333333333333333</v>
      </c>
      <c r="L155" s="17">
        <f>PRODUCT(H155:K155)</f>
        <v>0.0027777777777777775</v>
      </c>
      <c r="M155" s="17">
        <f>G155*L155</f>
        <v>0.027416666666666662</v>
      </c>
      <c r="N155" s="17">
        <f>IF(K155=0,H155*I155,L155)</f>
        <v>0.0027777777777777775</v>
      </c>
      <c r="O155" s="17">
        <f>G155*N155</f>
        <v>0.027416666666666662</v>
      </c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</row>
    <row r="156">
      <c r="A156" s="15" t="inlineStr">
        <is>
          <t>5月</t>
        </is>
      </c>
      <c r="B156" s="15" t="inlineStr">
        <is>
          <t>一、会展客户</t>
        </is>
      </c>
      <c r="C156" s="15" t="inlineStr">
        <is>
          <t>参会客户</t>
        </is>
      </c>
      <c r="D156" s="15" t="inlineStr">
        <is>
          <t>配套服务子项</t>
        </is>
      </c>
      <c r="E156" s="15" t="inlineStr">
        <is>
          <t>其中：餐饮服务</t>
        </is>
      </c>
      <c r="F156" s="15" t="inlineStr">
        <is>
          <t>餐饮服务</t>
        </is>
      </c>
      <c r="G156" s="17" t="n">
        <v>9.56</v>
      </c>
      <c r="H156" s="17" t="n">
        <v>0.125</v>
      </c>
      <c r="I156" s="17" t="n">
        <v>0.06666666666666667</v>
      </c>
      <c r="J156" s="17" t="n">
        <v>1</v>
      </c>
      <c r="K156" s="17" t="n">
        <v>0</v>
      </c>
      <c r="L156" s="17">
        <f>PRODUCT(H156:K156)</f>
        <v>0.0</v>
      </c>
      <c r="M156" s="17">
        <f>G156*L156</f>
        <v>0.0</v>
      </c>
      <c r="N156" s="17">
        <f>IF(K156=0,H156*I156,L156)</f>
        <v>0.008333333333333333</v>
      </c>
      <c r="O156" s="17">
        <f>G156*N156</f>
        <v>0.07966666666666666</v>
      </c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</row>
    <row r="157">
      <c r="A157" s="15" t="inlineStr">
        <is>
          <t>5月</t>
        </is>
      </c>
      <c r="B157" s="15" t="inlineStr">
        <is>
          <t>二、餐饮客户</t>
        </is>
      </c>
      <c r="C157" s="15" t="inlineStr">
        <is>
          <t>商务简餐</t>
        </is>
      </c>
      <c r="D157" s="15" t="inlineStr">
        <is>
          <t>商务简餐</t>
        </is>
      </c>
      <c r="E157" s="15" t="inlineStr">
        <is>
          <t>餐饮服务</t>
        </is>
      </c>
      <c r="F157" s="15" t="inlineStr">
        <is>
          <t>餐饮服务</t>
        </is>
      </c>
      <c r="G157" s="17" t="n">
        <v>9.91</v>
      </c>
      <c r="H157" s="17" t="n">
        <v>0.125</v>
      </c>
      <c r="I157" s="17" t="n">
        <v>0.06666666666666667</v>
      </c>
      <c r="J157" s="17" t="n">
        <v>1</v>
      </c>
      <c r="K157" s="17" t="n">
        <v>0.5</v>
      </c>
      <c r="L157" s="17">
        <f>PRODUCT(H157:K157)</f>
        <v>0.004166666666666667</v>
      </c>
      <c r="M157" s="17">
        <f>G157*L157</f>
        <v>0.041291666666666664</v>
      </c>
      <c r="N157" s="17">
        <f>IF(K157=0,H157*I157,L157)</f>
        <v>0.004166666666666667</v>
      </c>
      <c r="O157" s="17">
        <f>G157*N157</f>
        <v>0.041291666666666664</v>
      </c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</row>
    <row r="158">
      <c r="A158" s="15" t="inlineStr">
        <is>
          <t>5月</t>
        </is>
      </c>
      <c r="B158" s="15" t="inlineStr">
        <is>
          <t>二、餐饮客户</t>
        </is>
      </c>
      <c r="C158" s="15" t="inlineStr">
        <is>
          <t>商务简餐</t>
        </is>
      </c>
      <c r="D158" s="15" t="inlineStr">
        <is>
          <t>商务简餐</t>
        </is>
      </c>
      <c r="E158" s="15" t="inlineStr">
        <is>
          <t>硬件设施</t>
        </is>
      </c>
      <c r="F158" s="15" t="inlineStr">
        <is>
          <t>硬件设施</t>
        </is>
      </c>
      <c r="G158" s="17" t="n">
        <v>9.66</v>
      </c>
      <c r="H158" s="17" t="n">
        <v>0.125</v>
      </c>
      <c r="I158" s="17" t="n">
        <v>0.06666666666666667</v>
      </c>
      <c r="J158" s="17" t="n">
        <v>1</v>
      </c>
      <c r="K158" s="17" t="n">
        <v>0.5</v>
      </c>
      <c r="L158" s="17">
        <f>PRODUCT(H158:K158)</f>
        <v>0.004166666666666667</v>
      </c>
      <c r="M158" s="17">
        <f>G158*L158</f>
        <v>0.04025</v>
      </c>
      <c r="N158" s="17">
        <f>IF(K158=0,H158*I158,L158)</f>
        <v>0.004166666666666667</v>
      </c>
      <c r="O158" s="17">
        <f>G158*N158</f>
        <v>0.04025</v>
      </c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</row>
    <row r="159">
      <c r="A159" s="15" t="inlineStr">
        <is>
          <t>5月</t>
        </is>
      </c>
      <c r="B159" s="15" t="inlineStr">
        <is>
          <t>二、餐饮客户</t>
        </is>
      </c>
      <c r="C159" s="15" t="inlineStr">
        <is>
          <t>特色美食廊</t>
        </is>
      </c>
      <c r="D159" s="15" t="inlineStr">
        <is>
          <t>特色美食廊</t>
        </is>
      </c>
      <c r="E159" s="15" t="inlineStr">
        <is>
          <t>餐饮服务</t>
        </is>
      </c>
      <c r="F159" s="15" t="inlineStr">
        <is>
          <t>餐饮服务</t>
        </is>
      </c>
      <c r="G159" s="17" t="n">
        <v>9.460000000000001</v>
      </c>
      <c r="H159" s="17" t="n">
        <v>0.125</v>
      </c>
      <c r="I159" s="17" t="n">
        <v>0.06666666666666667</v>
      </c>
      <c r="J159" s="17" t="n">
        <v>1</v>
      </c>
      <c r="K159" s="17" t="n">
        <v>0.5</v>
      </c>
      <c r="L159" s="17">
        <f>PRODUCT(H159:K159)</f>
        <v>0.004166666666666667</v>
      </c>
      <c r="M159" s="17">
        <f>G159*L159</f>
        <v>0.03941666666666667</v>
      </c>
      <c r="N159" s="17">
        <f>IF(K159=0,H159*I159,L159)</f>
        <v>0.004166666666666667</v>
      </c>
      <c r="O159" s="17">
        <f>G159*N159</f>
        <v>0.03941666666666667</v>
      </c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</row>
    <row r="160">
      <c r="A160" s="15" t="inlineStr">
        <is>
          <t>5月</t>
        </is>
      </c>
      <c r="B160" s="15" t="inlineStr">
        <is>
          <t>二、餐饮客户</t>
        </is>
      </c>
      <c r="C160" s="15" t="inlineStr">
        <is>
          <t>特色美食廊</t>
        </is>
      </c>
      <c r="D160" s="15" t="inlineStr">
        <is>
          <t>特色美食廊</t>
        </is>
      </c>
      <c r="E160" s="15" t="inlineStr">
        <is>
          <t>硬件设施</t>
        </is>
      </c>
      <c r="F160" s="15" t="inlineStr">
        <is>
          <t>硬件设施</t>
        </is>
      </c>
      <c r="G160" s="17" t="n">
        <v>9.640000000000001</v>
      </c>
      <c r="H160" s="17" t="n">
        <v>0.125</v>
      </c>
      <c r="I160" s="17" t="n">
        <v>0.06666666666666667</v>
      </c>
      <c r="J160" s="17" t="n">
        <v>1</v>
      </c>
      <c r="K160" s="17" t="n">
        <v>0.5</v>
      </c>
      <c r="L160" s="17">
        <f>PRODUCT(H160:K160)</f>
        <v>0.004166666666666667</v>
      </c>
      <c r="M160" s="17">
        <f>G160*L160</f>
        <v>0.04016666666666667</v>
      </c>
      <c r="N160" s="17">
        <f>IF(K160=0,H160*I160,L160)</f>
        <v>0.004166666666666667</v>
      </c>
      <c r="O160" s="17">
        <f>G160*N160</f>
        <v>0.04016666666666667</v>
      </c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</row>
    <row r="161">
      <c r="A161" s="15" t="inlineStr">
        <is>
          <t>5月</t>
        </is>
      </c>
      <c r="B161" s="15" t="inlineStr">
        <is>
          <t>二、餐饮客户</t>
        </is>
      </c>
      <c r="C161" s="15" t="inlineStr">
        <is>
          <t>婚宴</t>
        </is>
      </c>
      <c r="D161" s="15" t="inlineStr">
        <is>
          <t>婚宴</t>
        </is>
      </c>
      <c r="E161" s="15" t="inlineStr">
        <is>
          <t>餐饮服务</t>
        </is>
      </c>
      <c r="F161" s="15" t="inlineStr">
        <is>
          <t>餐饮服务</t>
        </is>
      </c>
      <c r="G161" s="17" t="n">
        <v>9.949999999999999</v>
      </c>
      <c r="H161" s="17" t="n">
        <v>0.125</v>
      </c>
      <c r="I161" s="17" t="n">
        <v>0.06666666666666667</v>
      </c>
      <c r="J161" s="17" t="n">
        <v>1</v>
      </c>
      <c r="K161" s="17" t="n">
        <v>0.5</v>
      </c>
      <c r="L161" s="17">
        <f>PRODUCT(H161:K161)</f>
        <v>0.004166666666666667</v>
      </c>
      <c r="M161" s="17">
        <f>G161*L161</f>
        <v>0.04145833333333333</v>
      </c>
      <c r="N161" s="17">
        <f>IF(K161=0,H161*I161,L161)</f>
        <v>0.004166666666666667</v>
      </c>
      <c r="O161" s="17">
        <f>G161*N161</f>
        <v>0.04145833333333333</v>
      </c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</row>
    <row r="162">
      <c r="A162" s="15" t="inlineStr">
        <is>
          <t>5月</t>
        </is>
      </c>
      <c r="B162" s="15" t="inlineStr">
        <is>
          <t>二、餐饮客户</t>
        </is>
      </c>
      <c r="C162" s="15" t="inlineStr">
        <is>
          <t>婚宴</t>
        </is>
      </c>
      <c r="D162" s="15" t="inlineStr">
        <is>
          <t>婚宴</t>
        </is>
      </c>
      <c r="E162" s="15" t="inlineStr">
        <is>
          <t>硬件设施</t>
        </is>
      </c>
      <c r="F162" s="15" t="inlineStr">
        <is>
          <t>硬件设施</t>
        </is>
      </c>
      <c r="G162" s="17" t="n">
        <v>9.640000000000001</v>
      </c>
      <c r="H162" s="17" t="n">
        <v>0.125</v>
      </c>
      <c r="I162" s="17" t="n">
        <v>0.06666666666666667</v>
      </c>
      <c r="J162" s="17" t="n">
        <v>1</v>
      </c>
      <c r="K162" s="17" t="n">
        <v>0.5</v>
      </c>
      <c r="L162" s="17">
        <f>PRODUCT(H162:K162)</f>
        <v>0.004166666666666667</v>
      </c>
      <c r="M162" s="17">
        <f>G162*L162</f>
        <v>0.04016666666666667</v>
      </c>
      <c r="N162" s="17">
        <f>IF(K162=0,H162*I162,L162)</f>
        <v>0.004166666666666667</v>
      </c>
      <c r="O162" s="17">
        <f>G162*N162</f>
        <v>0.04016666666666667</v>
      </c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</row>
    <row r="163">
      <c r="A163" s="15" t="inlineStr">
        <is>
          <t>5月</t>
        </is>
      </c>
      <c r="B163" s="15" t="inlineStr">
        <is>
          <t>二、餐饮客户</t>
        </is>
      </c>
      <c r="C163" s="15" t="inlineStr">
        <is>
          <t>自助餐</t>
        </is>
      </c>
      <c r="D163" s="15" t="inlineStr">
        <is>
          <t>自助餐</t>
        </is>
      </c>
      <c r="E163" s="15" t="inlineStr">
        <is>
          <t>餐饮服务</t>
        </is>
      </c>
      <c r="F163" s="15" t="inlineStr">
        <is>
          <t>餐饮服务</t>
        </is>
      </c>
      <c r="G163" s="17" t="n">
        <v>10</v>
      </c>
      <c r="H163" s="17" t="n">
        <v>0.125</v>
      </c>
      <c r="I163" s="17" t="n">
        <v>0.06666666666666667</v>
      </c>
      <c r="J163" s="17" t="n">
        <v>1</v>
      </c>
      <c r="K163" s="17" t="n">
        <v>0.5</v>
      </c>
      <c r="L163" s="17">
        <f>PRODUCT(H163:K163)</f>
        <v>0.004166666666666667</v>
      </c>
      <c r="M163" s="17">
        <f>G163*L163</f>
        <v>0.041666666666666664</v>
      </c>
      <c r="N163" s="17">
        <f>IF(K163=0,H163*I163,L163)</f>
        <v>0.004166666666666667</v>
      </c>
      <c r="O163" s="17">
        <f>G163*N163</f>
        <v>0.041666666666666664</v>
      </c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</row>
    <row r="164">
      <c r="A164" s="15" t="inlineStr">
        <is>
          <t>5月</t>
        </is>
      </c>
      <c r="B164" s="15" t="inlineStr">
        <is>
          <t>二、餐饮客户</t>
        </is>
      </c>
      <c r="C164" s="15" t="inlineStr">
        <is>
          <t>自助餐</t>
        </is>
      </c>
      <c r="D164" s="15" t="inlineStr">
        <is>
          <t>自助餐</t>
        </is>
      </c>
      <c r="E164" s="15" t="inlineStr">
        <is>
          <t>硬件设施</t>
        </is>
      </c>
      <c r="F164" s="15" t="inlineStr">
        <is>
          <t>硬件设施</t>
        </is>
      </c>
      <c r="G164" s="17" t="n">
        <v>10</v>
      </c>
      <c r="H164" s="17" t="n">
        <v>0.125</v>
      </c>
      <c r="I164" s="17" t="n">
        <v>0.06666666666666667</v>
      </c>
      <c r="J164" s="17" t="n">
        <v>1</v>
      </c>
      <c r="K164" s="17" t="n">
        <v>0.5</v>
      </c>
      <c r="L164" s="17">
        <f>PRODUCT(H164:K164)</f>
        <v>0.004166666666666667</v>
      </c>
      <c r="M164" s="17">
        <f>G164*L164</f>
        <v>0.041666666666666664</v>
      </c>
      <c r="N164" s="17">
        <f>IF(K164=0,H164*I164,L164)</f>
        <v>0.004166666666666667</v>
      </c>
      <c r="O164" s="17">
        <f>G164*N164</f>
        <v>0.041666666666666664</v>
      </c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</row>
    <row r="165">
      <c r="A165" s="15" t="inlineStr">
        <is>
          <t>5月</t>
        </is>
      </c>
      <c r="B165" s="15" t="inlineStr">
        <is>
          <t>二、餐饮客户</t>
        </is>
      </c>
      <c r="C165" s="15" t="inlineStr">
        <is>
          <t>宴会</t>
        </is>
      </c>
      <c r="D165" s="15" t="inlineStr">
        <is>
          <t>宴会</t>
        </is>
      </c>
      <c r="E165" s="15" t="inlineStr">
        <is>
          <t>餐饮服务</t>
        </is>
      </c>
      <c r="F165" s="15" t="inlineStr">
        <is>
          <t>餐饮服务</t>
        </is>
      </c>
      <c r="G165" s="17" t="n">
        <v>9.81</v>
      </c>
      <c r="H165" s="17" t="n">
        <v>0.125</v>
      </c>
      <c r="I165" s="17" t="n">
        <v>0.06666666666666667</v>
      </c>
      <c r="J165" s="17" t="n">
        <v>1</v>
      </c>
      <c r="K165" s="17" t="n">
        <v>0.5</v>
      </c>
      <c r="L165" s="17">
        <f>PRODUCT(H165:K165)</f>
        <v>0.004166666666666667</v>
      </c>
      <c r="M165" s="17">
        <f>G165*L165</f>
        <v>0.040875</v>
      </c>
      <c r="N165" s="17">
        <f>IF(K165=0,H165*I165,L165)</f>
        <v>0.004166666666666667</v>
      </c>
      <c r="O165" s="17">
        <f>G165*N165</f>
        <v>0.040875</v>
      </c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</row>
    <row r="166">
      <c r="A166" s="15" t="inlineStr">
        <is>
          <t>5月</t>
        </is>
      </c>
      <c r="B166" s="15" t="inlineStr">
        <is>
          <t>二、餐饮客户</t>
        </is>
      </c>
      <c r="C166" s="15" t="inlineStr">
        <is>
          <t>宴会</t>
        </is>
      </c>
      <c r="D166" s="15" t="inlineStr">
        <is>
          <t>宴会</t>
        </is>
      </c>
      <c r="E166" s="15" t="inlineStr">
        <is>
          <t>硬件设施</t>
        </is>
      </c>
      <c r="F166" s="15" t="inlineStr">
        <is>
          <t>硬件设施</t>
        </is>
      </c>
      <c r="G166" s="17" t="n">
        <v>9.15</v>
      </c>
      <c r="H166" s="17" t="n">
        <v>0.125</v>
      </c>
      <c r="I166" s="17" t="n">
        <v>0.06666666666666667</v>
      </c>
      <c r="J166" s="17" t="n">
        <v>1</v>
      </c>
      <c r="K166" s="17" t="n">
        <v>0.5</v>
      </c>
      <c r="L166" s="17">
        <f>PRODUCT(H166:K166)</f>
        <v>0.004166666666666667</v>
      </c>
      <c r="M166" s="17">
        <f>G166*L166</f>
        <v>0.038125</v>
      </c>
      <c r="N166" s="17">
        <f>IF(K166=0,H166*I166,L166)</f>
        <v>0.004166666666666667</v>
      </c>
      <c r="O166" s="17">
        <f>G166*N166</f>
        <v>0.038125</v>
      </c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</row>
    <row r="167">
      <c r="A167" s="15" t="inlineStr">
        <is>
          <t>5月</t>
        </is>
      </c>
      <c r="B167" s="15" t="inlineStr">
        <is>
          <t>三、G20峰会体验馆</t>
        </is>
      </c>
      <c r="C167" s="15" t="inlineStr">
        <is>
          <t>游客</t>
        </is>
      </c>
      <c r="D167" s="15" t="inlineStr">
        <is>
          <t>游客</t>
        </is>
      </c>
      <c r="E167" s="15" t="inlineStr">
        <is>
          <t>旅游服务</t>
        </is>
      </c>
      <c r="F167" s="15" t="inlineStr">
        <is>
          <t>产品服务</t>
        </is>
      </c>
      <c r="G167" s="17" t="n">
        <v>10</v>
      </c>
      <c r="H167" s="17" t="n">
        <v>0.125</v>
      </c>
      <c r="I167" s="17" t="n">
        <v>0.06666666666666667</v>
      </c>
      <c r="J167" s="17" t="n">
        <v>1</v>
      </c>
      <c r="K167" s="17" t="n">
        <v>0.5</v>
      </c>
      <c r="L167" s="17">
        <f>PRODUCT(H167:K167)</f>
        <v>0.004166666666666667</v>
      </c>
      <c r="M167" s="17">
        <f>G167*L167</f>
        <v>0.041666666666666664</v>
      </c>
      <c r="N167" s="17">
        <f>IF(K167=0,H167*I167,L167)</f>
        <v>0.004166666666666667</v>
      </c>
      <c r="O167" s="17">
        <f>G167*N167</f>
        <v>0.041666666666666664</v>
      </c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</row>
    <row r="168">
      <c r="A168" s="15" t="inlineStr">
        <is>
          <t>5月</t>
        </is>
      </c>
      <c r="B168" s="15" t="inlineStr">
        <is>
          <t>三、G20峰会体验馆</t>
        </is>
      </c>
      <c r="C168" s="15" t="inlineStr">
        <is>
          <t>游客</t>
        </is>
      </c>
      <c r="D168" s="15" t="inlineStr">
        <is>
          <t>游客</t>
        </is>
      </c>
      <c r="E168" s="15" t="inlineStr">
        <is>
          <t>硬件设施</t>
        </is>
      </c>
      <c r="F168" s="15" t="inlineStr">
        <is>
          <t>硬件设施</t>
        </is>
      </c>
      <c r="G168" s="17" t="n">
        <v>10</v>
      </c>
      <c r="H168" s="17" t="n">
        <v>0.125</v>
      </c>
      <c r="I168" s="17" t="n">
        <v>0.06666666666666667</v>
      </c>
      <c r="J168" s="17" t="n">
        <v>1</v>
      </c>
      <c r="K168" s="17" t="n">
        <v>0.5</v>
      </c>
      <c r="L168" s="17">
        <f>PRODUCT(H168:K168)</f>
        <v>0.004166666666666667</v>
      </c>
      <c r="M168" s="17">
        <f>G168*L168</f>
        <v>0.041666666666666664</v>
      </c>
      <c r="N168" s="17">
        <f>IF(K168=0,H168*I168,L168)</f>
        <v>0.004166666666666667</v>
      </c>
      <c r="O168" s="17">
        <f>G168*N168</f>
        <v>0.041666666666666664</v>
      </c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</row>
    <row r="169">
      <c r="A169" s="15" t="inlineStr">
        <is>
          <t>5月</t>
        </is>
      </c>
      <c r="B169" s="15" t="inlineStr">
        <is>
          <t>五、酒店客户</t>
        </is>
      </c>
      <c r="C169" s="15" t="inlineStr">
        <is>
          <t>酒店住宿团队</t>
        </is>
      </c>
      <c r="D169" s="15" t="inlineStr">
        <is>
          <t>住宿团队</t>
        </is>
      </c>
      <c r="E169" s="15" t="inlineStr">
        <is>
          <t>硬件设施</t>
        </is>
      </c>
      <c r="F169" s="15" t="inlineStr">
        <is>
          <t>硬件设施</t>
        </is>
      </c>
      <c r="G169" s="17" t="n">
        <v>9.93</v>
      </c>
      <c r="H169" s="17" t="n">
        <v>0.125</v>
      </c>
      <c r="I169" s="17" t="n">
        <v>0.06666666666666667</v>
      </c>
      <c r="J169" s="17" t="n">
        <v>1</v>
      </c>
      <c r="K169" s="17" t="n">
        <v>0.3333333333333333</v>
      </c>
      <c r="L169" s="17">
        <f>PRODUCT(H169:K169)</f>
        <v>0.0027777777777777775</v>
      </c>
      <c r="M169" s="17">
        <f>G169*L169</f>
        <v>0.027583333333333328</v>
      </c>
      <c r="N169" s="17">
        <f>IF(K169=0,H169*I169,L169)</f>
        <v>0.0027777777777777775</v>
      </c>
      <c r="O169" s="17">
        <f>G169*N169</f>
        <v>0.027583333333333328</v>
      </c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</row>
    <row r="170">
      <c r="A170" s="15" t="inlineStr">
        <is>
          <t>5月</t>
        </is>
      </c>
      <c r="B170" s="15" t="inlineStr">
        <is>
          <t>五、酒店客户</t>
        </is>
      </c>
      <c r="C170" s="15" t="inlineStr">
        <is>
          <t>酒店住宿团队</t>
        </is>
      </c>
      <c r="D170" s="15" t="inlineStr">
        <is>
          <t>住宿团队</t>
        </is>
      </c>
      <c r="E170" s="15" t="inlineStr">
        <is>
          <t>入住服务</t>
        </is>
      </c>
      <c r="F170" s="15" t="inlineStr">
        <is>
          <t>产品服务</t>
        </is>
      </c>
      <c r="G170" s="17" t="n">
        <v>10</v>
      </c>
      <c r="H170" s="17" t="n">
        <v>0.125</v>
      </c>
      <c r="I170" s="17" t="n">
        <v>0.06666666666666667</v>
      </c>
      <c r="J170" s="17" t="n">
        <v>1</v>
      </c>
      <c r="K170" s="17" t="n">
        <v>0.3333333333333333</v>
      </c>
      <c r="L170" s="17">
        <f>PRODUCT(H170:K170)</f>
        <v>0.0027777777777777775</v>
      </c>
      <c r="M170" s="17">
        <f>G170*L170</f>
        <v>0.027777777777777776</v>
      </c>
      <c r="N170" s="17">
        <f>IF(K170=0,H170*I170,L170)</f>
        <v>0.0027777777777777775</v>
      </c>
      <c r="O170" s="17">
        <f>G170*N170</f>
        <v>0.027777777777777776</v>
      </c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</row>
    <row r="171">
      <c r="A171" s="15" t="inlineStr">
        <is>
          <t>5月</t>
        </is>
      </c>
      <c r="B171" s="15" t="inlineStr">
        <is>
          <t>五、酒店客户</t>
        </is>
      </c>
      <c r="C171" s="15" t="inlineStr">
        <is>
          <t>酒店住宿团队</t>
        </is>
      </c>
      <c r="D171" s="15" t="inlineStr">
        <is>
          <t>住宿团队</t>
        </is>
      </c>
      <c r="E171" s="15" t="inlineStr">
        <is>
          <t>餐饮服务</t>
        </is>
      </c>
      <c r="F171" s="15" t="inlineStr">
        <is>
          <t>餐饮服务</t>
        </is>
      </c>
      <c r="G171" s="17" t="n">
        <v>10</v>
      </c>
      <c r="H171" s="17" t="n">
        <v>0.125</v>
      </c>
      <c r="I171" s="17" t="n">
        <v>0.06666666666666667</v>
      </c>
      <c r="J171" s="17" t="n">
        <v>1</v>
      </c>
      <c r="K171" s="17" t="n">
        <v>0.3333333333333333</v>
      </c>
      <c r="L171" s="17">
        <f>PRODUCT(H171:K171)</f>
        <v>0.0027777777777777775</v>
      </c>
      <c r="M171" s="17">
        <f>G171*L171</f>
        <v>0.027777777777777776</v>
      </c>
      <c r="N171" s="17">
        <f>IF(K171=0,H171*I171,L171)</f>
        <v>0.0027777777777777775</v>
      </c>
      <c r="O171" s="17">
        <f>G171*N171</f>
        <v>0.027777777777777776</v>
      </c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</row>
    <row r="172">
      <c r="A172" s="15" t="inlineStr">
        <is>
          <t>5月</t>
        </is>
      </c>
      <c r="B172" s="15" t="inlineStr">
        <is>
          <t>五、酒店客户</t>
        </is>
      </c>
      <c r="C172" s="15" t="inlineStr">
        <is>
          <t>酒店参会客户</t>
        </is>
      </c>
      <c r="D172" s="15" t="inlineStr">
        <is>
          <t>酒店参会客户</t>
        </is>
      </c>
      <c r="E172" s="15" t="inlineStr">
        <is>
          <t>会展服务</t>
        </is>
      </c>
      <c r="F172" s="15" t="inlineStr">
        <is>
          <t>产品服务</t>
        </is>
      </c>
      <c r="G172" s="17" t="n">
        <v>10</v>
      </c>
      <c r="H172" s="17" t="n">
        <v>0.125</v>
      </c>
      <c r="I172" s="17" t="n">
        <v>0.06666666666666667</v>
      </c>
      <c r="J172" s="17" t="n">
        <v>1</v>
      </c>
      <c r="K172" s="17" t="n">
        <v>0.3333333333333333</v>
      </c>
      <c r="L172" s="17">
        <f>PRODUCT(H172:K172)</f>
        <v>0.0027777777777777775</v>
      </c>
      <c r="M172" s="17">
        <f>G172*L172</f>
        <v>0.027777777777777776</v>
      </c>
      <c r="N172" s="17">
        <f>IF(K172=0,H172*I172,L172)</f>
        <v>0.0027777777777777775</v>
      </c>
      <c r="O172" s="17">
        <f>G172*N172</f>
        <v>0.027777777777777776</v>
      </c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</row>
    <row r="173">
      <c r="A173" s="15" t="inlineStr">
        <is>
          <t>5月</t>
        </is>
      </c>
      <c r="B173" s="15" t="inlineStr">
        <is>
          <t>五、酒店客户</t>
        </is>
      </c>
      <c r="C173" s="15" t="inlineStr">
        <is>
          <t>酒店参会客户</t>
        </is>
      </c>
      <c r="D173" s="15" t="inlineStr">
        <is>
          <t>酒店参会客户</t>
        </is>
      </c>
      <c r="E173" s="15" t="inlineStr">
        <is>
          <t>硬件设施</t>
        </is>
      </c>
      <c r="F173" s="15" t="inlineStr">
        <is>
          <t>硬件设施</t>
        </is>
      </c>
      <c r="G173" s="17" t="n">
        <v>9.710000000000001</v>
      </c>
      <c r="H173" s="17" t="n">
        <v>0.125</v>
      </c>
      <c r="I173" s="17" t="n">
        <v>0.06666666666666667</v>
      </c>
      <c r="J173" s="17" t="n">
        <v>1</v>
      </c>
      <c r="K173" s="17" t="n">
        <v>0.3333333333333333</v>
      </c>
      <c r="L173" s="17">
        <f>PRODUCT(H173:K173)</f>
        <v>0.0027777777777777775</v>
      </c>
      <c r="M173" s="17">
        <f>G173*L173</f>
        <v>0.02697222222222222</v>
      </c>
      <c r="N173" s="17">
        <f>IF(K173=0,H173*I173,L173)</f>
        <v>0.0027777777777777775</v>
      </c>
      <c r="O173" s="17">
        <f>G173*N173</f>
        <v>0.02697222222222222</v>
      </c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</row>
    <row r="174">
      <c r="A174" s="15" t="inlineStr">
        <is>
          <t>5月</t>
        </is>
      </c>
      <c r="B174" s="15" t="inlineStr">
        <is>
          <t>五、酒店客户</t>
        </is>
      </c>
      <c r="C174" s="15" t="inlineStr">
        <is>
          <t>酒店参会客户</t>
        </is>
      </c>
      <c r="D174" s="15" t="inlineStr">
        <is>
          <t>酒店参会客户</t>
        </is>
      </c>
      <c r="E174" s="15" t="inlineStr">
        <is>
          <t>配套服务</t>
        </is>
      </c>
      <c r="F174" s="15" t="inlineStr">
        <is>
          <t>配套服务</t>
        </is>
      </c>
      <c r="G174" s="17" t="n">
        <v>9.94</v>
      </c>
      <c r="H174" s="17" t="n">
        <v>0.125</v>
      </c>
      <c r="I174" s="17" t="n">
        <v>0.06666666666666667</v>
      </c>
      <c r="J174" s="17" t="n">
        <v>1</v>
      </c>
      <c r="K174" s="17" t="n">
        <v>0.3333333333333333</v>
      </c>
      <c r="L174" s="17">
        <f>PRODUCT(H174:K174)</f>
        <v>0.0027777777777777775</v>
      </c>
      <c r="M174" s="17">
        <f>G174*L174</f>
        <v>0.027611111111111107</v>
      </c>
      <c r="N174" s="17">
        <f>IF(K174=0,H174*I174,L174)</f>
        <v>0.0027777777777777775</v>
      </c>
      <c r="O174" s="17">
        <f>G174*N174</f>
        <v>0.027611111111111107</v>
      </c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</row>
    <row r="175">
      <c r="A175" s="15" t="inlineStr">
        <is>
          <t>5月</t>
        </is>
      </c>
      <c r="B175" s="15" t="inlineStr">
        <is>
          <t>五、酒店客户</t>
        </is>
      </c>
      <c r="C175" s="15" t="inlineStr">
        <is>
          <t>酒店参会客户</t>
        </is>
      </c>
      <c r="D175" s="15" t="inlineStr">
        <is>
          <t>配套服务子项</t>
        </is>
      </c>
      <c r="E175" s="15" t="inlineStr">
        <is>
          <t>其中：餐饮服务</t>
        </is>
      </c>
      <c r="F175" s="15" t="inlineStr">
        <is>
          <t>餐饮服务</t>
        </is>
      </c>
      <c r="G175" s="17" t="n">
        <v>10</v>
      </c>
      <c r="H175" s="17" t="n">
        <v>0.125</v>
      </c>
      <c r="I175" s="17" t="n">
        <v>0.06666666666666667</v>
      </c>
      <c r="J175" s="17" t="n">
        <v>1</v>
      </c>
      <c r="K175" s="17" t="n">
        <v>0</v>
      </c>
      <c r="L175" s="17">
        <f>PRODUCT(H175:K175)</f>
        <v>0.0</v>
      </c>
      <c r="M175" s="17">
        <f>G175*L175</f>
        <v>0.0</v>
      </c>
      <c r="N175" s="17">
        <f>IF(K175=0,H175*I175,L175)</f>
        <v>0.008333333333333333</v>
      </c>
      <c r="O175" s="17">
        <f>G175*N175</f>
        <v>0.08333333333333333</v>
      </c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</row>
    <row r="176">
      <c r="A176" s="15" t="inlineStr">
        <is>
          <t>5月</t>
        </is>
      </c>
      <c r="B176" s="15" t="inlineStr">
        <is>
          <t>五、酒店客户</t>
        </is>
      </c>
      <c r="C176" s="15" t="inlineStr">
        <is>
          <t>酒店餐饮客户</t>
        </is>
      </c>
      <c r="D176" s="15" t="inlineStr">
        <is>
          <t>酒店宴会</t>
        </is>
      </c>
      <c r="E176" s="15" t="inlineStr">
        <is>
          <t>餐饮服务</t>
        </is>
      </c>
      <c r="F176" s="15" t="inlineStr">
        <is>
          <t>餐饮服务</t>
        </is>
      </c>
      <c r="G176" s="17" t="n">
        <v>9.890000000000001</v>
      </c>
      <c r="H176" s="17" t="n">
        <v>0.125</v>
      </c>
      <c r="I176" s="17" t="n">
        <v>0.06666666666666667</v>
      </c>
      <c r="J176" s="17" t="n">
        <v>0.5</v>
      </c>
      <c r="K176" s="17" t="n">
        <v>0.5</v>
      </c>
      <c r="L176" s="17">
        <f>PRODUCT(H176:K176)</f>
        <v>0.0020833333333333333</v>
      </c>
      <c r="M176" s="17">
        <f>G176*L176</f>
        <v>0.020604166666666666</v>
      </c>
      <c r="N176" s="17">
        <f>IF(K176=0,H176*I176,L176)</f>
        <v>0.0020833333333333333</v>
      </c>
      <c r="O176" s="17">
        <f>G176*N176</f>
        <v>0.020604166666666666</v>
      </c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</row>
    <row r="177">
      <c r="A177" s="15" t="inlineStr">
        <is>
          <t>5月</t>
        </is>
      </c>
      <c r="B177" s="15" t="inlineStr">
        <is>
          <t>五、酒店客户</t>
        </is>
      </c>
      <c r="C177" s="15" t="inlineStr">
        <is>
          <t>酒店餐饮客户</t>
        </is>
      </c>
      <c r="D177" s="15" t="inlineStr">
        <is>
          <t>酒店宴会</t>
        </is>
      </c>
      <c r="E177" s="15" t="inlineStr">
        <is>
          <t>硬件设施</t>
        </is>
      </c>
      <c r="F177" s="15" t="inlineStr">
        <is>
          <t>硬件设施</t>
        </is>
      </c>
      <c r="G177" s="17" t="n">
        <v>9.640000000000001</v>
      </c>
      <c r="H177" s="17" t="n">
        <v>0.125</v>
      </c>
      <c r="I177" s="17" t="n">
        <v>0.06666666666666667</v>
      </c>
      <c r="J177" s="17" t="n">
        <v>0.5</v>
      </c>
      <c r="K177" s="17" t="n">
        <v>0.5</v>
      </c>
      <c r="L177" s="17">
        <f>PRODUCT(H177:K177)</f>
        <v>0.0020833333333333333</v>
      </c>
      <c r="M177" s="17">
        <f>G177*L177</f>
        <v>0.020083333333333335</v>
      </c>
      <c r="N177" s="17">
        <f>IF(K177=0,H177*I177,L177)</f>
        <v>0.0020833333333333333</v>
      </c>
      <c r="O177" s="17">
        <f>G177*N177</f>
        <v>0.020083333333333335</v>
      </c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</row>
    <row r="178">
      <c r="A178" s="15" t="inlineStr">
        <is>
          <t>5月</t>
        </is>
      </c>
      <c r="B178" s="15" t="inlineStr">
        <is>
          <t>五、酒店客户</t>
        </is>
      </c>
      <c r="C178" s="15" t="inlineStr">
        <is>
          <t>酒店餐饮客户</t>
        </is>
      </c>
      <c r="D178" s="15" t="inlineStr">
        <is>
          <t>酒店自助餐</t>
        </is>
      </c>
      <c r="E178" s="15" t="inlineStr">
        <is>
          <t>餐饮服务</t>
        </is>
      </c>
      <c r="F178" s="15" t="inlineStr">
        <is>
          <t>餐饮服务</t>
        </is>
      </c>
      <c r="G178" s="17" t="n">
        <v>10</v>
      </c>
      <c r="H178" s="17" t="n">
        <v>0.125</v>
      </c>
      <c r="I178" s="17" t="n">
        <v>0.06666666666666667</v>
      </c>
      <c r="J178" s="17" t="n">
        <v>0.5</v>
      </c>
      <c r="K178" s="17" t="n">
        <v>0.5</v>
      </c>
      <c r="L178" s="17">
        <f>PRODUCT(H178:K178)</f>
        <v>0.0020833333333333333</v>
      </c>
      <c r="M178" s="17">
        <f>G178*L178</f>
        <v>0.020833333333333332</v>
      </c>
      <c r="N178" s="17">
        <f>IF(K178=0,H178*I178,L178)</f>
        <v>0.0020833333333333333</v>
      </c>
      <c r="O178" s="17">
        <f>G178*N178</f>
        <v>0.020833333333333332</v>
      </c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</row>
    <row r="179">
      <c r="A179" s="15" t="inlineStr">
        <is>
          <t>5月</t>
        </is>
      </c>
      <c r="B179" s="15" t="inlineStr">
        <is>
          <t>五、酒店客户</t>
        </is>
      </c>
      <c r="C179" s="15" t="inlineStr">
        <is>
          <t>酒店餐饮客户</t>
        </is>
      </c>
      <c r="D179" s="15" t="inlineStr">
        <is>
          <t>酒店自助餐</t>
        </is>
      </c>
      <c r="E179" s="15" t="inlineStr">
        <is>
          <t>硬件设施</t>
        </is>
      </c>
      <c r="F179" s="15" t="inlineStr">
        <is>
          <t>硬件设施</t>
        </is>
      </c>
      <c r="G179" s="17" t="n">
        <v>10</v>
      </c>
      <c r="H179" s="17" t="n">
        <v>0.125</v>
      </c>
      <c r="I179" s="17" t="n">
        <v>0.06666666666666667</v>
      </c>
      <c r="J179" s="17" t="n">
        <v>0.5</v>
      </c>
      <c r="K179" s="17" t="n">
        <v>0.5</v>
      </c>
      <c r="L179" s="17">
        <f>PRODUCT(H179:K179)</f>
        <v>0.0020833333333333333</v>
      </c>
      <c r="M179" s="17">
        <f>G179*L179</f>
        <v>0.020833333333333332</v>
      </c>
      <c r="N179" s="17">
        <f>IF(K179=0,H179*I179,L179)</f>
        <v>0.0020833333333333333</v>
      </c>
      <c r="O179" s="17">
        <f>G179*N179</f>
        <v>0.020833333333333332</v>
      </c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</row>
    <row r="180">
      <c r="A180" s="15" t="inlineStr">
        <is>
          <t>6月</t>
        </is>
      </c>
      <c r="B180" s="15" t="inlineStr">
        <is>
          <t>一、会展客户</t>
        </is>
      </c>
      <c r="C180" s="15" t="inlineStr">
        <is>
          <t>展览活动主（承）办</t>
        </is>
      </c>
      <c r="D180" s="15" t="inlineStr">
        <is>
          <t>展览主承办</t>
        </is>
      </c>
      <c r="E180" s="15" t="inlineStr">
        <is>
          <t>会展服务</t>
        </is>
      </c>
      <c r="F180" s="15" t="inlineStr">
        <is>
          <t>产品服务</t>
        </is>
      </c>
      <c r="G180" s="17" t="n">
        <v>9.99</v>
      </c>
      <c r="H180" s="17" t="n">
        <v>0.125</v>
      </c>
      <c r="I180" s="17" t="n">
        <v>0.05882352941176471</v>
      </c>
      <c r="J180" s="17" t="n">
        <v>1</v>
      </c>
      <c r="K180" s="17" t="n">
        <v>0.25</v>
      </c>
      <c r="L180" s="17">
        <f>PRODUCT(H180:K180)</f>
        <v>0.001838235294117647</v>
      </c>
      <c r="M180" s="17">
        <f>G180*L180</f>
        <v>0.018363970588235294</v>
      </c>
      <c r="N180" s="17">
        <f>IF(K180=0,H180*I180,L180)</f>
        <v>0.001838235294117647</v>
      </c>
      <c r="O180" s="17">
        <f>G180*N180</f>
        <v>0.018363970588235294</v>
      </c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</row>
    <row r="181">
      <c r="A181" s="15" t="inlineStr">
        <is>
          <t>6月</t>
        </is>
      </c>
      <c r="B181" s="15" t="inlineStr">
        <is>
          <t>一、会展客户</t>
        </is>
      </c>
      <c r="C181" s="15" t="inlineStr">
        <is>
          <t>展览活动主（承）办</t>
        </is>
      </c>
      <c r="D181" s="15" t="inlineStr">
        <is>
          <t>展览主承办</t>
        </is>
      </c>
      <c r="E181" s="15" t="inlineStr">
        <is>
          <t>硬件设施</t>
        </is>
      </c>
      <c r="F181" s="15" t="inlineStr">
        <is>
          <t>硬件设施</t>
        </is>
      </c>
      <c r="G181" s="17" t="n">
        <v>9.59</v>
      </c>
      <c r="H181" s="17" t="n">
        <v>0.125</v>
      </c>
      <c r="I181" s="17" t="n">
        <v>0.05882352941176471</v>
      </c>
      <c r="J181" s="17" t="n">
        <v>1</v>
      </c>
      <c r="K181" s="17" t="n">
        <v>0.25</v>
      </c>
      <c r="L181" s="17">
        <f>PRODUCT(H181:K181)</f>
        <v>0.001838235294117647</v>
      </c>
      <c r="M181" s="17">
        <f>G181*L181</f>
        <v>0.017628676470588234</v>
      </c>
      <c r="N181" s="17">
        <f>IF(K181=0,H181*I181,L181)</f>
        <v>0.001838235294117647</v>
      </c>
      <c r="O181" s="17">
        <f>G181*N181</f>
        <v>0.017628676470588234</v>
      </c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</row>
    <row r="182">
      <c r="A182" s="15" t="inlineStr">
        <is>
          <t>6月</t>
        </is>
      </c>
      <c r="B182" s="15" t="inlineStr">
        <is>
          <t>一、会展客户</t>
        </is>
      </c>
      <c r="C182" s="15" t="inlineStr">
        <is>
          <t>展览活动主（承）办</t>
        </is>
      </c>
      <c r="D182" s="15" t="inlineStr">
        <is>
          <t>展览主承办</t>
        </is>
      </c>
      <c r="E182" s="15" t="inlineStr">
        <is>
          <t>配套服务</t>
        </is>
      </c>
      <c r="F182" s="15" t="inlineStr">
        <is>
          <t>配套服务</t>
        </is>
      </c>
      <c r="G182" s="17" t="n">
        <v>9.92</v>
      </c>
      <c r="H182" s="17" t="n">
        <v>0.125</v>
      </c>
      <c r="I182" s="17" t="n">
        <v>0.05882352941176471</v>
      </c>
      <c r="J182" s="17" t="n">
        <v>1</v>
      </c>
      <c r="K182" s="17" t="n">
        <v>0.25</v>
      </c>
      <c r="L182" s="17">
        <f>PRODUCT(H182:K182)</f>
        <v>0.001838235294117647</v>
      </c>
      <c r="M182" s="17">
        <f>G182*L182</f>
        <v>0.018235294117647058</v>
      </c>
      <c r="N182" s="17">
        <f>IF(K182=0,H182*I182,L182)</f>
        <v>0.001838235294117647</v>
      </c>
      <c r="O182" s="17">
        <f>G182*N182</f>
        <v>0.018235294117647058</v>
      </c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</row>
    <row r="183">
      <c r="A183" s="15" t="inlineStr">
        <is>
          <t>6月</t>
        </is>
      </c>
      <c r="B183" s="15" t="inlineStr">
        <is>
          <t>一、会展客户</t>
        </is>
      </c>
      <c r="C183" s="15" t="inlineStr">
        <is>
          <t>展览活动主（承）办</t>
        </is>
      </c>
      <c r="D183" s="15" t="inlineStr">
        <is>
          <t>展览主承办</t>
        </is>
      </c>
      <c r="E183" s="15" t="inlineStr">
        <is>
          <t>智慧场馆</t>
        </is>
      </c>
      <c r="F183" s="15" t="inlineStr">
        <is>
          <t>智慧场馆/服务</t>
        </is>
      </c>
      <c r="G183" s="17" t="n">
        <v>9</v>
      </c>
      <c r="H183" s="17" t="n">
        <v>0.125</v>
      </c>
      <c r="I183" s="17" t="n">
        <v>0.05882352941176471</v>
      </c>
      <c r="J183" s="17" t="n">
        <v>1</v>
      </c>
      <c r="K183" s="17" t="n">
        <v>0.25</v>
      </c>
      <c r="L183" s="17">
        <f>PRODUCT(H183:K183)</f>
        <v>0.001838235294117647</v>
      </c>
      <c r="M183" s="17">
        <f>G183*L183</f>
        <v>0.016544117647058824</v>
      </c>
      <c r="N183" s="17">
        <f>IF(K183=0,H183*I183,L183)</f>
        <v>0.001838235294117647</v>
      </c>
      <c r="O183" s="17">
        <f>G183*N183</f>
        <v>0.016544117647058824</v>
      </c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</row>
    <row r="184">
      <c r="A184" s="15" t="inlineStr">
        <is>
          <t>6月</t>
        </is>
      </c>
      <c r="B184" s="15" t="inlineStr">
        <is>
          <t>一、会展客户</t>
        </is>
      </c>
      <c r="C184" s="15" t="inlineStr">
        <is>
          <t>展览活动主（承）办</t>
        </is>
      </c>
      <c r="D184" s="15" t="inlineStr">
        <is>
          <t>配套服务子项</t>
        </is>
      </c>
      <c r="E184" s="15" t="inlineStr">
        <is>
          <t>其中：餐饮服务</t>
        </is>
      </c>
      <c r="F184" s="15" t="inlineStr">
        <is>
          <t>餐饮服务</t>
        </is>
      </c>
      <c r="G184" s="17" t="n">
        <v>9.67</v>
      </c>
      <c r="H184" s="17" t="n">
        <v>0.125</v>
      </c>
      <c r="I184" s="17" t="n">
        <v>0.05882352941176471</v>
      </c>
      <c r="J184" s="17" t="n">
        <v>1</v>
      </c>
      <c r="K184" s="17" t="n">
        <v>0</v>
      </c>
      <c r="L184" s="17">
        <f>PRODUCT(H184:K184)</f>
        <v>0.0</v>
      </c>
      <c r="M184" s="17">
        <f>G184*L184</f>
        <v>0.0</v>
      </c>
      <c r="N184" s="17">
        <f>IF(K184=0,H184*I184,L184)</f>
        <v>0.007352941176470588</v>
      </c>
      <c r="O184" s="17">
        <f>G184*N184</f>
        <v>0.07110294117647059</v>
      </c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</row>
    <row r="185">
      <c r="A185" s="15" t="inlineStr">
        <is>
          <t>6月</t>
        </is>
      </c>
      <c r="B185" s="15" t="inlineStr">
        <is>
          <t>一、会展客户</t>
        </is>
      </c>
      <c r="C185" s="15" t="inlineStr">
        <is>
          <t>参展商</t>
        </is>
      </c>
      <c r="D185" s="15" t="inlineStr">
        <is>
          <t>参展商</t>
        </is>
      </c>
      <c r="E185" s="15" t="inlineStr">
        <is>
          <t>会场服务</t>
        </is>
      </c>
      <c r="F185" s="15" t="inlineStr">
        <is>
          <t>产品服务</t>
        </is>
      </c>
      <c r="G185" s="17" t="n">
        <v>9.94</v>
      </c>
      <c r="H185" s="17" t="n">
        <v>0.125</v>
      </c>
      <c r="I185" s="17" t="n">
        <v>0.05882352941176471</v>
      </c>
      <c r="J185" s="17" t="n">
        <v>1</v>
      </c>
      <c r="K185" s="17" t="n">
        <v>0.3333333333333333</v>
      </c>
      <c r="L185" s="17">
        <f>PRODUCT(H185:K185)</f>
        <v>0.0024509803921568627</v>
      </c>
      <c r="M185" s="17">
        <f>G185*L185</f>
        <v>0.024362745098039214</v>
      </c>
      <c r="N185" s="17">
        <f>IF(K185=0,H185*I185,L185)</f>
        <v>0.0024509803921568627</v>
      </c>
      <c r="O185" s="17">
        <f>G185*N185</f>
        <v>0.024362745098039214</v>
      </c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</row>
    <row r="186">
      <c r="A186" s="15" t="inlineStr">
        <is>
          <t>6月</t>
        </is>
      </c>
      <c r="B186" s="15" t="inlineStr">
        <is>
          <t>一、会展客户</t>
        </is>
      </c>
      <c r="C186" s="15" t="inlineStr">
        <is>
          <t>参展商</t>
        </is>
      </c>
      <c r="D186" s="15" t="inlineStr">
        <is>
          <t>参展商</t>
        </is>
      </c>
      <c r="E186" s="15" t="inlineStr">
        <is>
          <t>硬件设施</t>
        </is>
      </c>
      <c r="F186" s="15" t="inlineStr">
        <is>
          <t>硬件设施</t>
        </is>
      </c>
      <c r="G186" s="17" t="n">
        <v>9.16</v>
      </c>
      <c r="H186" s="17" t="n">
        <v>0.125</v>
      </c>
      <c r="I186" s="17" t="n">
        <v>0.05882352941176471</v>
      </c>
      <c r="J186" s="17" t="n">
        <v>1</v>
      </c>
      <c r="K186" s="17" t="n">
        <v>0.3333333333333333</v>
      </c>
      <c r="L186" s="17">
        <f>PRODUCT(H186:K186)</f>
        <v>0.0024509803921568627</v>
      </c>
      <c r="M186" s="17">
        <f>G186*L186</f>
        <v>0.02245098039215686</v>
      </c>
      <c r="N186" s="17">
        <f>IF(K186=0,H186*I186,L186)</f>
        <v>0.0024509803921568627</v>
      </c>
      <c r="O186" s="17">
        <f>G186*N186</f>
        <v>0.02245098039215686</v>
      </c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</row>
    <row r="187">
      <c r="A187" s="15" t="inlineStr">
        <is>
          <t>6月</t>
        </is>
      </c>
      <c r="B187" s="15" t="inlineStr">
        <is>
          <t>一、会展客户</t>
        </is>
      </c>
      <c r="C187" s="15" t="inlineStr">
        <is>
          <t>参展商</t>
        </is>
      </c>
      <c r="D187" s="15" t="inlineStr">
        <is>
          <t>参展商</t>
        </is>
      </c>
      <c r="E187" s="15" t="inlineStr">
        <is>
          <t>配套服务</t>
        </is>
      </c>
      <c r="F187" s="15" t="inlineStr">
        <is>
          <t>配套服务</t>
        </is>
      </c>
      <c r="G187" s="17" t="n">
        <v>9.470000000000001</v>
      </c>
      <c r="H187" s="17" t="n">
        <v>0.125</v>
      </c>
      <c r="I187" s="17" t="n">
        <v>0.05882352941176471</v>
      </c>
      <c r="J187" s="17" t="n">
        <v>1</v>
      </c>
      <c r="K187" s="17" t="n">
        <v>0.3333333333333333</v>
      </c>
      <c r="L187" s="17">
        <f>PRODUCT(H187:K187)</f>
        <v>0.0024509803921568627</v>
      </c>
      <c r="M187" s="17">
        <f>G187*L187</f>
        <v>0.02321078431372549</v>
      </c>
      <c r="N187" s="17">
        <f>IF(K187=0,H187*I187,L187)</f>
        <v>0.0024509803921568627</v>
      </c>
      <c r="O187" s="17">
        <f>G187*N187</f>
        <v>0.02321078431372549</v>
      </c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</row>
    <row r="188">
      <c r="A188" s="15" t="inlineStr">
        <is>
          <t>6月</t>
        </is>
      </c>
      <c r="B188" s="15" t="inlineStr">
        <is>
          <t>一、会展客户</t>
        </is>
      </c>
      <c r="C188" s="15" t="inlineStr">
        <is>
          <t>参展商</t>
        </is>
      </c>
      <c r="D188" s="15" t="inlineStr">
        <is>
          <t>配套服务子项</t>
        </is>
      </c>
      <c r="E188" s="15" t="inlineStr">
        <is>
          <t>其中：餐饮服务</t>
        </is>
      </c>
      <c r="F188" s="15" t="inlineStr">
        <is>
          <t>餐饮服务</t>
        </is>
      </c>
      <c r="G188" s="17" t="n">
        <v>8.4</v>
      </c>
      <c r="H188" s="17" t="n">
        <v>0.125</v>
      </c>
      <c r="I188" s="17" t="n">
        <v>0.05882352941176471</v>
      </c>
      <c r="J188" s="17" t="n">
        <v>1</v>
      </c>
      <c r="K188" s="17" t="n">
        <v>0</v>
      </c>
      <c r="L188" s="17">
        <f>PRODUCT(H188:K188)</f>
        <v>0.0</v>
      </c>
      <c r="M188" s="17">
        <f>G188*L188</f>
        <v>0.0</v>
      </c>
      <c r="N188" s="17">
        <f>IF(K188=0,H188*I188,L188)</f>
        <v>0.007352941176470588</v>
      </c>
      <c r="O188" s="17">
        <f>G188*N188</f>
        <v>0.061764705882352944</v>
      </c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</row>
    <row r="189">
      <c r="A189" s="15" t="inlineStr">
        <is>
          <t>6月</t>
        </is>
      </c>
      <c r="B189" s="15" t="inlineStr">
        <is>
          <t>一、会展客户</t>
        </is>
      </c>
      <c r="C189" s="15" t="inlineStr">
        <is>
          <t>专业观众</t>
        </is>
      </c>
      <c r="D189" s="15" t="inlineStr">
        <is>
          <t>专业观众</t>
        </is>
      </c>
      <c r="E189" s="15" t="inlineStr">
        <is>
          <t>会展服务</t>
        </is>
      </c>
      <c r="F189" s="15" t="inlineStr">
        <is>
          <t>产品服务</t>
        </is>
      </c>
      <c r="G189" s="17" t="n">
        <v>10</v>
      </c>
      <c r="H189" s="17" t="n">
        <v>0.125</v>
      </c>
      <c r="I189" s="17" t="n">
        <v>0.05882352941176471</v>
      </c>
      <c r="J189" s="17" t="n">
        <v>1</v>
      </c>
      <c r="K189" s="17" t="n">
        <v>0.3333333333333333</v>
      </c>
      <c r="L189" s="17">
        <f>PRODUCT(H189:K189)</f>
        <v>0.0024509803921568627</v>
      </c>
      <c r="M189" s="17">
        <f>G189*L189</f>
        <v>0.024509803921568627</v>
      </c>
      <c r="N189" s="17">
        <f>IF(K189=0,H189*I189,L189)</f>
        <v>0.0024509803921568627</v>
      </c>
      <c r="O189" s="17">
        <f>G189*N189</f>
        <v>0.024509803921568627</v>
      </c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</row>
    <row r="190">
      <c r="A190" s="15" t="inlineStr">
        <is>
          <t>6月</t>
        </is>
      </c>
      <c r="B190" s="15" t="inlineStr">
        <is>
          <t>一、会展客户</t>
        </is>
      </c>
      <c r="C190" s="15" t="inlineStr">
        <is>
          <t>专业观众</t>
        </is>
      </c>
      <c r="D190" s="15" t="inlineStr">
        <is>
          <t>专业观众</t>
        </is>
      </c>
      <c r="E190" s="15" t="inlineStr">
        <is>
          <t>硬件设施</t>
        </is>
      </c>
      <c r="F190" s="15" t="inlineStr">
        <is>
          <t>硬件设施</t>
        </is>
      </c>
      <c r="G190" s="17" t="n">
        <v>9.460000000000001</v>
      </c>
      <c r="H190" s="17" t="n">
        <v>0.125</v>
      </c>
      <c r="I190" s="17" t="n">
        <v>0.05882352941176471</v>
      </c>
      <c r="J190" s="17" t="n">
        <v>1</v>
      </c>
      <c r="K190" s="17" t="n">
        <v>0.3333333333333333</v>
      </c>
      <c r="L190" s="17">
        <f>PRODUCT(H190:K190)</f>
        <v>0.0024509803921568627</v>
      </c>
      <c r="M190" s="17">
        <f>G190*L190</f>
        <v>0.023186274509803925</v>
      </c>
      <c r="N190" s="17">
        <f>IF(K190=0,H190*I190,L190)</f>
        <v>0.0024509803921568627</v>
      </c>
      <c r="O190" s="17">
        <f>G190*N190</f>
        <v>0.023186274509803925</v>
      </c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</row>
    <row r="191">
      <c r="A191" s="15" t="inlineStr">
        <is>
          <t>6月</t>
        </is>
      </c>
      <c r="B191" s="15" t="inlineStr">
        <is>
          <t>一、会展客户</t>
        </is>
      </c>
      <c r="C191" s="15" t="inlineStr">
        <is>
          <t>专业观众</t>
        </is>
      </c>
      <c r="D191" s="15" t="inlineStr">
        <is>
          <t>专业观众</t>
        </is>
      </c>
      <c r="E191" s="15" t="inlineStr">
        <is>
          <t>配套服务</t>
        </is>
      </c>
      <c r="F191" s="15" t="inlineStr">
        <is>
          <t>配套服务</t>
        </is>
      </c>
      <c r="G191" s="17" t="n">
        <v>9.69</v>
      </c>
      <c r="H191" s="17" t="n">
        <v>0.125</v>
      </c>
      <c r="I191" s="17" t="n">
        <v>0.05882352941176471</v>
      </c>
      <c r="J191" s="17" t="n">
        <v>1</v>
      </c>
      <c r="K191" s="17" t="n">
        <v>0.3333333333333333</v>
      </c>
      <c r="L191" s="17">
        <f>PRODUCT(H191:K191)</f>
        <v>0.0024509803921568627</v>
      </c>
      <c r="M191" s="17">
        <f>G191*L191</f>
        <v>0.023749999999999997</v>
      </c>
      <c r="N191" s="17">
        <f>IF(K191=0,H191*I191,L191)</f>
        <v>0.0024509803921568627</v>
      </c>
      <c r="O191" s="17">
        <f>G191*N191</f>
        <v>0.023749999999999997</v>
      </c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</row>
    <row r="192">
      <c r="A192" s="15" t="inlineStr">
        <is>
          <t>6月</t>
        </is>
      </c>
      <c r="B192" s="15" t="inlineStr">
        <is>
          <t>一、会展客户</t>
        </is>
      </c>
      <c r="C192" s="15" t="inlineStr">
        <is>
          <t>专业观众</t>
        </is>
      </c>
      <c r="D192" s="15" t="inlineStr">
        <is>
          <t>配套服务子项</t>
        </is>
      </c>
      <c r="E192" s="15" t="inlineStr">
        <is>
          <t>其中：餐饮服务</t>
        </is>
      </c>
      <c r="F192" s="15" t="inlineStr">
        <is>
          <t>餐饮服务</t>
        </is>
      </c>
      <c r="G192" s="17" t="n">
        <v>8.76</v>
      </c>
      <c r="H192" s="17" t="n">
        <v>0.125</v>
      </c>
      <c r="I192" s="17" t="n">
        <v>0.05882352941176471</v>
      </c>
      <c r="J192" s="17" t="n">
        <v>1</v>
      </c>
      <c r="K192" s="17" t="n">
        <v>0</v>
      </c>
      <c r="L192" s="17">
        <f>PRODUCT(H192:K192)</f>
        <v>0.0</v>
      </c>
      <c r="M192" s="17">
        <f>G192*L192</f>
        <v>0.0</v>
      </c>
      <c r="N192" s="17">
        <f>IF(K192=0,H192*I192,L192)</f>
        <v>0.007352941176470588</v>
      </c>
      <c r="O192" s="17">
        <f>G192*N192</f>
        <v>0.06441176470588235</v>
      </c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</row>
    <row r="193">
      <c r="A193" s="15" t="inlineStr">
        <is>
          <t>6月</t>
        </is>
      </c>
      <c r="B193" s="15" t="inlineStr">
        <is>
          <t>一、会展客户</t>
        </is>
      </c>
      <c r="C193" s="15" t="inlineStr">
        <is>
          <t>会展服务商</t>
        </is>
      </c>
      <c r="D193" s="15" t="inlineStr">
        <is>
          <t>会展服务商</t>
        </is>
      </c>
      <c r="E193" s="15" t="inlineStr">
        <is>
          <t>会展服务</t>
        </is>
      </c>
      <c r="F193" s="15" t="inlineStr">
        <is>
          <t>产品服务</t>
        </is>
      </c>
      <c r="G193" s="17" t="n">
        <v>10</v>
      </c>
      <c r="H193" s="17" t="n">
        <v>0.125</v>
      </c>
      <c r="I193" s="17" t="n">
        <v>0.05882352941176471</v>
      </c>
      <c r="J193" s="17" t="n">
        <v>1</v>
      </c>
      <c r="K193" s="17" t="n">
        <v>0.3333333333333333</v>
      </c>
      <c r="L193" s="17">
        <f>PRODUCT(H193:K193)</f>
        <v>0.0024509803921568627</v>
      </c>
      <c r="M193" s="17">
        <f>G193*L193</f>
        <v>0.024509803921568627</v>
      </c>
      <c r="N193" s="17">
        <f>IF(K193=0,H193*I193,L193)</f>
        <v>0.0024509803921568627</v>
      </c>
      <c r="O193" s="17">
        <f>G193*N193</f>
        <v>0.024509803921568627</v>
      </c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</row>
    <row r="194">
      <c r="A194" s="15" t="inlineStr">
        <is>
          <t>6月</t>
        </is>
      </c>
      <c r="B194" s="15" t="inlineStr">
        <is>
          <t>一、会展客户</t>
        </is>
      </c>
      <c r="C194" s="15" t="inlineStr">
        <is>
          <t>会展服务商</t>
        </is>
      </c>
      <c r="D194" s="15" t="inlineStr">
        <is>
          <t>会展服务商</t>
        </is>
      </c>
      <c r="E194" s="15" t="inlineStr">
        <is>
          <t>硬件设施</t>
        </is>
      </c>
      <c r="F194" s="15" t="inlineStr">
        <is>
          <t>硬件设施</t>
        </is>
      </c>
      <c r="G194" s="17" t="n">
        <v>10</v>
      </c>
      <c r="H194" s="17" t="n">
        <v>0.125</v>
      </c>
      <c r="I194" s="17" t="n">
        <v>0.05882352941176471</v>
      </c>
      <c r="J194" s="17" t="n">
        <v>1</v>
      </c>
      <c r="K194" s="17" t="n">
        <v>0.3333333333333333</v>
      </c>
      <c r="L194" s="17">
        <f>PRODUCT(H194:K194)</f>
        <v>0.0024509803921568627</v>
      </c>
      <c r="M194" s="17">
        <f>G194*L194</f>
        <v>0.024509803921568627</v>
      </c>
      <c r="N194" s="17">
        <f>IF(K194=0,H194*I194,L194)</f>
        <v>0.0024509803921568627</v>
      </c>
      <c r="O194" s="17">
        <f>G194*N194</f>
        <v>0.024509803921568627</v>
      </c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</row>
    <row r="195">
      <c r="A195" s="15" t="inlineStr">
        <is>
          <t>6月</t>
        </is>
      </c>
      <c r="B195" s="15" t="inlineStr">
        <is>
          <t>一、会展客户</t>
        </is>
      </c>
      <c r="C195" s="15" t="inlineStr">
        <is>
          <t>会展服务商</t>
        </is>
      </c>
      <c r="D195" s="15" t="inlineStr">
        <is>
          <t>会展服务商</t>
        </is>
      </c>
      <c r="E195" s="15" t="inlineStr">
        <is>
          <t>配套服务</t>
        </is>
      </c>
      <c r="F195" s="15" t="inlineStr">
        <is>
          <t>配套服务</t>
        </is>
      </c>
      <c r="G195" s="17" t="n">
        <v>10</v>
      </c>
      <c r="H195" s="17" t="n">
        <v>0.125</v>
      </c>
      <c r="I195" s="17" t="n">
        <v>0.05882352941176471</v>
      </c>
      <c r="J195" s="17" t="n">
        <v>1</v>
      </c>
      <c r="K195" s="17" t="n">
        <v>0.3333333333333333</v>
      </c>
      <c r="L195" s="17">
        <f>PRODUCT(H195:K195)</f>
        <v>0.0024509803921568627</v>
      </c>
      <c r="M195" s="17">
        <f>G195*L195</f>
        <v>0.024509803921568627</v>
      </c>
      <c r="N195" s="17">
        <f>IF(K195=0,H195*I195,L195)</f>
        <v>0.0024509803921568627</v>
      </c>
      <c r="O195" s="17">
        <f>G195*N195</f>
        <v>0.024509803921568627</v>
      </c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</row>
    <row r="196">
      <c r="A196" s="15" t="inlineStr">
        <is>
          <t>6月</t>
        </is>
      </c>
      <c r="B196" s="15" t="inlineStr">
        <is>
          <t>一、会展客户</t>
        </is>
      </c>
      <c r="C196" s="15" t="inlineStr">
        <is>
          <t>会展服务商</t>
        </is>
      </c>
      <c r="D196" s="15" t="inlineStr">
        <is>
          <t>配套服务子项</t>
        </is>
      </c>
      <c r="E196" s="15" t="inlineStr">
        <is>
          <t>其中：餐饮服务</t>
        </is>
      </c>
      <c r="F196" s="15" t="inlineStr">
        <is>
          <t>餐饮服务</t>
        </is>
      </c>
      <c r="G196" s="17" t="n">
        <v>10</v>
      </c>
      <c r="H196" s="17" t="n">
        <v>0.125</v>
      </c>
      <c r="I196" s="17" t="n">
        <v>0.05882352941176471</v>
      </c>
      <c r="J196" s="17" t="n">
        <v>1</v>
      </c>
      <c r="K196" s="17" t="n">
        <v>0</v>
      </c>
      <c r="L196" s="17">
        <f>PRODUCT(H196:K196)</f>
        <v>0.0</v>
      </c>
      <c r="M196" s="17">
        <f>G196*L196</f>
        <v>0.0</v>
      </c>
      <c r="N196" s="17">
        <f>IF(K196=0,H196*I196,L196)</f>
        <v>0.007352941176470588</v>
      </c>
      <c r="O196" s="17">
        <f>G196*N196</f>
        <v>0.07352941176470588</v>
      </c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</row>
    <row r="197">
      <c r="A197" s="15" t="inlineStr">
        <is>
          <t>6月</t>
        </is>
      </c>
      <c r="B197" s="15" t="inlineStr">
        <is>
          <t>一、会展客户</t>
        </is>
      </c>
      <c r="C197" s="15" t="inlineStr">
        <is>
          <t>会议活动主（承）办</t>
        </is>
      </c>
      <c r="D197" s="15" t="inlineStr">
        <is>
          <t>会议主承办</t>
        </is>
      </c>
      <c r="E197" s="15" t="inlineStr">
        <is>
          <t>会展服务</t>
        </is>
      </c>
      <c r="F197" s="15" t="inlineStr">
        <is>
          <t>产品服务</t>
        </is>
      </c>
      <c r="G197" s="17" t="n">
        <v>9.94</v>
      </c>
      <c r="H197" s="17" t="n">
        <v>0.125</v>
      </c>
      <c r="I197" s="17" t="n">
        <v>0.05882352941176471</v>
      </c>
      <c r="J197" s="17" t="n">
        <v>1</v>
      </c>
      <c r="K197" s="17" t="n">
        <v>0.3333333333333333</v>
      </c>
      <c r="L197" s="17">
        <f>PRODUCT(H197:K197)</f>
        <v>0.0024509803921568627</v>
      </c>
      <c r="M197" s="17">
        <f>G197*L197</f>
        <v>0.024362745098039214</v>
      </c>
      <c r="N197" s="17">
        <f>IF(K197=0,H197*I197,L197)</f>
        <v>0.0024509803921568627</v>
      </c>
      <c r="O197" s="17">
        <f>G197*N197</f>
        <v>0.024362745098039214</v>
      </c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</row>
    <row r="198">
      <c r="A198" s="15" t="inlineStr">
        <is>
          <t>6月</t>
        </is>
      </c>
      <c r="B198" s="15" t="inlineStr">
        <is>
          <t>一、会展客户</t>
        </is>
      </c>
      <c r="C198" s="15" t="inlineStr">
        <is>
          <t>会议活动主（承）办</t>
        </is>
      </c>
      <c r="D198" s="15" t="inlineStr">
        <is>
          <t>会议主承办</t>
        </is>
      </c>
      <c r="E198" s="15" t="inlineStr">
        <is>
          <t>硬件设施</t>
        </is>
      </c>
      <c r="F198" s="15" t="inlineStr">
        <is>
          <t>硬件设施</t>
        </is>
      </c>
      <c r="G198" s="17" t="n">
        <v>9.66</v>
      </c>
      <c r="H198" s="17" t="n">
        <v>0.125</v>
      </c>
      <c r="I198" s="17" t="n">
        <v>0.05882352941176471</v>
      </c>
      <c r="J198" s="17" t="n">
        <v>1</v>
      </c>
      <c r="K198" s="17" t="n">
        <v>0.3333333333333333</v>
      </c>
      <c r="L198" s="17">
        <f>PRODUCT(H198:K198)</f>
        <v>0.0024509803921568627</v>
      </c>
      <c r="M198" s="17">
        <f>G198*L198</f>
        <v>0.023676470588235295</v>
      </c>
      <c r="N198" s="17">
        <f>IF(K198=0,H198*I198,L198)</f>
        <v>0.0024509803921568627</v>
      </c>
      <c r="O198" s="17">
        <f>G198*N198</f>
        <v>0.023676470588235295</v>
      </c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</row>
    <row r="199">
      <c r="A199" s="15" t="inlineStr">
        <is>
          <t>6月</t>
        </is>
      </c>
      <c r="B199" s="15" t="inlineStr">
        <is>
          <t>一、会展客户</t>
        </is>
      </c>
      <c r="C199" s="15" t="inlineStr">
        <is>
          <t>会议活动主（承）办</t>
        </is>
      </c>
      <c r="D199" s="15" t="inlineStr">
        <is>
          <t>会议主承办</t>
        </is>
      </c>
      <c r="E199" s="15" t="inlineStr">
        <is>
          <t>配套服务</t>
        </is>
      </c>
      <c r="F199" s="15" t="inlineStr">
        <is>
          <t>配套服务</t>
        </is>
      </c>
      <c r="G199" s="17" t="n">
        <v>9.880000000000001</v>
      </c>
      <c r="H199" s="17" t="n">
        <v>0.125</v>
      </c>
      <c r="I199" s="17" t="n">
        <v>0.05882352941176471</v>
      </c>
      <c r="J199" s="17" t="n">
        <v>1</v>
      </c>
      <c r="K199" s="17" t="n">
        <v>0.3333333333333333</v>
      </c>
      <c r="L199" s="17">
        <f>PRODUCT(H199:K199)</f>
        <v>0.0024509803921568627</v>
      </c>
      <c r="M199" s="17">
        <f>G199*L199</f>
        <v>0.024215686274509804</v>
      </c>
      <c r="N199" s="17">
        <f>IF(K199=0,H199*I199,L199)</f>
        <v>0.0024509803921568627</v>
      </c>
      <c r="O199" s="17">
        <f>G199*N199</f>
        <v>0.024215686274509804</v>
      </c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</row>
    <row r="200">
      <c r="A200" s="15" t="inlineStr">
        <is>
          <t>6月</t>
        </is>
      </c>
      <c r="B200" s="15" t="inlineStr">
        <is>
          <t>一、会展客户</t>
        </is>
      </c>
      <c r="C200" s="15" t="inlineStr">
        <is>
          <t>会议活动主（承）办</t>
        </is>
      </c>
      <c r="D200" s="15" t="inlineStr">
        <is>
          <t>配套服务子项</t>
        </is>
      </c>
      <c r="E200" s="15" t="inlineStr">
        <is>
          <t>其中：餐饮服务</t>
        </is>
      </c>
      <c r="F200" s="15" t="inlineStr">
        <is>
          <t>餐饮服务</t>
        </is>
      </c>
      <c r="G200" s="17" t="n">
        <v>9.5</v>
      </c>
      <c r="H200" s="17" t="n">
        <v>0.125</v>
      </c>
      <c r="I200" s="17" t="n">
        <v>0.05882352941176471</v>
      </c>
      <c r="J200" s="17" t="n">
        <v>1</v>
      </c>
      <c r="K200" s="17" t="n">
        <v>0</v>
      </c>
      <c r="L200" s="17">
        <f>PRODUCT(H200:K200)</f>
        <v>0.0</v>
      </c>
      <c r="M200" s="17">
        <f>G200*L200</f>
        <v>0.0</v>
      </c>
      <c r="N200" s="17">
        <f>IF(K200=0,H200*I200,L200)</f>
        <v>0.007352941176470588</v>
      </c>
      <c r="O200" s="17">
        <f>G200*N200</f>
        <v>0.06985294117647059</v>
      </c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</row>
    <row r="201">
      <c r="A201" s="15" t="inlineStr">
        <is>
          <t>6月</t>
        </is>
      </c>
      <c r="B201" s="15" t="inlineStr">
        <is>
          <t>一、会展客户</t>
        </is>
      </c>
      <c r="C201" s="15" t="inlineStr">
        <is>
          <t>参会客户</t>
        </is>
      </c>
      <c r="D201" s="15" t="inlineStr">
        <is>
          <t>参会人员</t>
        </is>
      </c>
      <c r="E201" s="15" t="inlineStr">
        <is>
          <t>会展服务</t>
        </is>
      </c>
      <c r="F201" s="15" t="inlineStr">
        <is>
          <t>产品服务</t>
        </is>
      </c>
      <c r="G201" s="17" t="n">
        <v>10</v>
      </c>
      <c r="H201" s="17" t="n">
        <v>0.125</v>
      </c>
      <c r="I201" s="17" t="n">
        <v>0.05882352941176471</v>
      </c>
      <c r="J201" s="17" t="n">
        <v>1</v>
      </c>
      <c r="K201" s="17" t="n">
        <v>0.3333333333333333</v>
      </c>
      <c r="L201" s="17">
        <f>PRODUCT(H201:K201)</f>
        <v>0.0024509803921568627</v>
      </c>
      <c r="M201" s="17">
        <f>G201*L201</f>
        <v>0.024509803921568627</v>
      </c>
      <c r="N201" s="17">
        <f>IF(K201=0,H201*I201,L201)</f>
        <v>0.0024509803921568627</v>
      </c>
      <c r="O201" s="17">
        <f>G201*N201</f>
        <v>0.024509803921568627</v>
      </c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</row>
    <row r="202">
      <c r="A202" s="15" t="inlineStr">
        <is>
          <t>6月</t>
        </is>
      </c>
      <c r="B202" s="15" t="inlineStr">
        <is>
          <t>一、会展客户</t>
        </is>
      </c>
      <c r="C202" s="15" t="inlineStr">
        <is>
          <t>参会客户</t>
        </is>
      </c>
      <c r="D202" s="15" t="inlineStr">
        <is>
          <t>参会人员</t>
        </is>
      </c>
      <c r="E202" s="15" t="inlineStr">
        <is>
          <t>硬件设施</t>
        </is>
      </c>
      <c r="F202" s="15" t="inlineStr">
        <is>
          <t>硬件设施</t>
        </is>
      </c>
      <c r="G202" s="17" t="n">
        <v>9.640000000000001</v>
      </c>
      <c r="H202" s="17" t="n">
        <v>0.125</v>
      </c>
      <c r="I202" s="17" t="n">
        <v>0.05882352941176471</v>
      </c>
      <c r="J202" s="17" t="n">
        <v>1</v>
      </c>
      <c r="K202" s="17" t="n">
        <v>0.3333333333333333</v>
      </c>
      <c r="L202" s="17">
        <f>PRODUCT(H202:K202)</f>
        <v>0.0024509803921568627</v>
      </c>
      <c r="M202" s="17">
        <f>G202*L202</f>
        <v>0.023627450980392158</v>
      </c>
      <c r="N202" s="17">
        <f>IF(K202=0,H202*I202,L202)</f>
        <v>0.0024509803921568627</v>
      </c>
      <c r="O202" s="17">
        <f>G202*N202</f>
        <v>0.023627450980392158</v>
      </c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</row>
    <row r="203">
      <c r="A203" s="15" t="inlineStr">
        <is>
          <t>6月</t>
        </is>
      </c>
      <c r="B203" s="15" t="inlineStr">
        <is>
          <t>一、会展客户</t>
        </is>
      </c>
      <c r="C203" s="15" t="inlineStr">
        <is>
          <t>参会客户</t>
        </is>
      </c>
      <c r="D203" s="15" t="inlineStr">
        <is>
          <t>参会人员</t>
        </is>
      </c>
      <c r="E203" s="15" t="inlineStr">
        <is>
          <t>配套服务</t>
        </is>
      </c>
      <c r="F203" s="15" t="inlineStr">
        <is>
          <t>配套服务</t>
        </is>
      </c>
      <c r="G203" s="17" t="n">
        <v>9.869999999999999</v>
      </c>
      <c r="H203" s="17" t="n">
        <v>0.125</v>
      </c>
      <c r="I203" s="17" t="n">
        <v>0.05882352941176471</v>
      </c>
      <c r="J203" s="17" t="n">
        <v>1</v>
      </c>
      <c r="K203" s="17" t="n">
        <v>0.3333333333333333</v>
      </c>
      <c r="L203" s="17">
        <f>PRODUCT(H203:K203)</f>
        <v>0.0024509803921568627</v>
      </c>
      <c r="M203" s="17">
        <f>G203*L203</f>
        <v>0.024191176470588233</v>
      </c>
      <c r="N203" s="17">
        <f>IF(K203=0,H203*I203,L203)</f>
        <v>0.0024509803921568627</v>
      </c>
      <c r="O203" s="17">
        <f>G203*N203</f>
        <v>0.024191176470588233</v>
      </c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</row>
    <row r="204">
      <c r="A204" s="15" t="inlineStr">
        <is>
          <t>6月</t>
        </is>
      </c>
      <c r="B204" s="15" t="inlineStr">
        <is>
          <t>一、会展客户</t>
        </is>
      </c>
      <c r="C204" s="15" t="inlineStr">
        <is>
          <t>参会客户</t>
        </is>
      </c>
      <c r="D204" s="15" t="inlineStr">
        <is>
          <t>配套服务子项</t>
        </is>
      </c>
      <c r="E204" s="15" t="inlineStr">
        <is>
          <t>其中：餐饮服务</t>
        </is>
      </c>
      <c r="F204" s="15" t="inlineStr">
        <is>
          <t>餐饮服务</t>
        </is>
      </c>
      <c r="G204" s="17" t="n">
        <v>9.52</v>
      </c>
      <c r="H204" s="17" t="n">
        <v>0.125</v>
      </c>
      <c r="I204" s="17" t="n">
        <v>0.05882352941176471</v>
      </c>
      <c r="J204" s="17" t="n">
        <v>1</v>
      </c>
      <c r="K204" s="17" t="n">
        <v>0</v>
      </c>
      <c r="L204" s="17">
        <f>PRODUCT(H204:K204)</f>
        <v>0.0</v>
      </c>
      <c r="M204" s="17">
        <f>G204*L204</f>
        <v>0.0</v>
      </c>
      <c r="N204" s="17">
        <f>IF(K204=0,H204*I204,L204)</f>
        <v>0.007352941176470588</v>
      </c>
      <c r="O204" s="17">
        <f>G204*N204</f>
        <v>0.06999999999999999</v>
      </c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</row>
    <row r="205">
      <c r="A205" s="15" t="inlineStr">
        <is>
          <t>6月</t>
        </is>
      </c>
      <c r="B205" s="15" t="inlineStr">
        <is>
          <t>二、餐饮客户</t>
        </is>
      </c>
      <c r="C205" s="15" t="inlineStr">
        <is>
          <t>商务简餐</t>
        </is>
      </c>
      <c r="D205" s="15" t="inlineStr">
        <is>
          <t>商务简餐</t>
        </is>
      </c>
      <c r="E205" s="15" t="inlineStr">
        <is>
          <t>餐饮服务</t>
        </is>
      </c>
      <c r="F205" s="15" t="inlineStr">
        <is>
          <t>餐饮服务</t>
        </is>
      </c>
      <c r="G205" s="17" t="n">
        <v>9.970000000000001</v>
      </c>
      <c r="H205" s="17" t="n">
        <v>0.125</v>
      </c>
      <c r="I205" s="17" t="n">
        <v>0.05882352941176471</v>
      </c>
      <c r="J205" s="17" t="n">
        <v>1</v>
      </c>
      <c r="K205" s="17" t="n">
        <v>0.5</v>
      </c>
      <c r="L205" s="17">
        <f>PRODUCT(H205:K205)</f>
        <v>0.003676470588235294</v>
      </c>
      <c r="M205" s="17">
        <f>G205*L205</f>
        <v>0.03665441176470589</v>
      </c>
      <c r="N205" s="17">
        <f>IF(K205=0,H205*I205,L205)</f>
        <v>0.003676470588235294</v>
      </c>
      <c r="O205" s="17">
        <f>G205*N205</f>
        <v>0.03665441176470589</v>
      </c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</row>
    <row r="206">
      <c r="A206" s="15" t="inlineStr">
        <is>
          <t>6月</t>
        </is>
      </c>
      <c r="B206" s="15" t="inlineStr">
        <is>
          <t>二、餐饮客户</t>
        </is>
      </c>
      <c r="C206" s="15" t="inlineStr">
        <is>
          <t>商务简餐</t>
        </is>
      </c>
      <c r="D206" s="15" t="inlineStr">
        <is>
          <t>商务简餐</t>
        </is>
      </c>
      <c r="E206" s="15" t="inlineStr">
        <is>
          <t>硬件设施</t>
        </is>
      </c>
      <c r="F206" s="15" t="inlineStr">
        <is>
          <t>硬件设施</t>
        </is>
      </c>
      <c r="G206" s="17" t="n">
        <v>9.59</v>
      </c>
      <c r="H206" s="17" t="n">
        <v>0.125</v>
      </c>
      <c r="I206" s="17" t="n">
        <v>0.05882352941176471</v>
      </c>
      <c r="J206" s="17" t="n">
        <v>1</v>
      </c>
      <c r="K206" s="17" t="n">
        <v>0.5</v>
      </c>
      <c r="L206" s="17">
        <f>PRODUCT(H206:K206)</f>
        <v>0.003676470588235294</v>
      </c>
      <c r="M206" s="17">
        <f>G206*L206</f>
        <v>0.03525735294117647</v>
      </c>
      <c r="N206" s="17">
        <f>IF(K206=0,H206*I206,L206)</f>
        <v>0.003676470588235294</v>
      </c>
      <c r="O206" s="17">
        <f>G206*N206</f>
        <v>0.03525735294117647</v>
      </c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</row>
    <row r="207">
      <c r="A207" s="15" t="inlineStr">
        <is>
          <t>6月</t>
        </is>
      </c>
      <c r="B207" s="15" t="inlineStr">
        <is>
          <t>二、餐饮客户</t>
        </is>
      </c>
      <c r="C207" s="15" t="inlineStr">
        <is>
          <t>特色美食廊</t>
        </is>
      </c>
      <c r="D207" s="15" t="inlineStr">
        <is>
          <t>特色美食廊</t>
        </is>
      </c>
      <c r="E207" s="15" t="inlineStr">
        <is>
          <t>餐饮服务</t>
        </is>
      </c>
      <c r="F207" s="15" t="inlineStr">
        <is>
          <t>餐饮服务</t>
        </is>
      </c>
      <c r="G207" s="17" t="n">
        <v>9.470000000000001</v>
      </c>
      <c r="H207" s="17" t="n">
        <v>0.125</v>
      </c>
      <c r="I207" s="17" t="n">
        <v>0.05882352941176471</v>
      </c>
      <c r="J207" s="17" t="n">
        <v>1</v>
      </c>
      <c r="K207" s="17" t="n">
        <v>0.5</v>
      </c>
      <c r="L207" s="17">
        <f>PRODUCT(H207:K207)</f>
        <v>0.003676470588235294</v>
      </c>
      <c r="M207" s="17">
        <f>G207*L207</f>
        <v>0.03481617647058824</v>
      </c>
      <c r="N207" s="17">
        <f>IF(K207=0,H207*I207,L207)</f>
        <v>0.003676470588235294</v>
      </c>
      <c r="O207" s="17">
        <f>G207*N207</f>
        <v>0.03481617647058824</v>
      </c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</row>
    <row r="208">
      <c r="A208" s="15" t="inlineStr">
        <is>
          <t>6月</t>
        </is>
      </c>
      <c r="B208" s="15" t="inlineStr">
        <is>
          <t>二、餐饮客户</t>
        </is>
      </c>
      <c r="C208" s="15" t="inlineStr">
        <is>
          <t>特色美食廊</t>
        </is>
      </c>
      <c r="D208" s="15" t="inlineStr">
        <is>
          <t>特色美食廊</t>
        </is>
      </c>
      <c r="E208" s="15" t="inlineStr">
        <is>
          <t>硬件设施</t>
        </is>
      </c>
      <c r="F208" s="15" t="inlineStr">
        <is>
          <t>硬件设施</t>
        </is>
      </c>
      <c r="G208" s="17" t="n">
        <v>9.550000000000001</v>
      </c>
      <c r="H208" s="17" t="n">
        <v>0.125</v>
      </c>
      <c r="I208" s="17" t="n">
        <v>0.05882352941176471</v>
      </c>
      <c r="J208" s="17" t="n">
        <v>1</v>
      </c>
      <c r="K208" s="17" t="n">
        <v>0.5</v>
      </c>
      <c r="L208" s="17">
        <f>PRODUCT(H208:K208)</f>
        <v>0.003676470588235294</v>
      </c>
      <c r="M208" s="17">
        <f>G208*L208</f>
        <v>0.03511029411764706</v>
      </c>
      <c r="N208" s="17">
        <f>IF(K208=0,H208*I208,L208)</f>
        <v>0.003676470588235294</v>
      </c>
      <c r="O208" s="17">
        <f>G208*N208</f>
        <v>0.03511029411764706</v>
      </c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</row>
    <row r="209">
      <c r="A209" s="15" t="inlineStr">
        <is>
          <t>6月</t>
        </is>
      </c>
      <c r="B209" s="15" t="inlineStr">
        <is>
          <t>二、餐饮客户</t>
        </is>
      </c>
      <c r="C209" s="15" t="inlineStr">
        <is>
          <t>婚宴</t>
        </is>
      </c>
      <c r="D209" s="15" t="inlineStr">
        <is>
          <t>婚宴</t>
        </is>
      </c>
      <c r="E209" s="15" t="inlineStr">
        <is>
          <t>餐饮服务</t>
        </is>
      </c>
      <c r="F209" s="15" t="inlineStr">
        <is>
          <t>餐饮服务</t>
        </is>
      </c>
      <c r="G209" s="17" t="n">
        <v>9.81</v>
      </c>
      <c r="H209" s="17" t="n">
        <v>0.125</v>
      </c>
      <c r="I209" s="17" t="n">
        <v>0.05882352941176471</v>
      </c>
      <c r="J209" s="17" t="n">
        <v>1</v>
      </c>
      <c r="K209" s="17" t="n">
        <v>0.5</v>
      </c>
      <c r="L209" s="17">
        <f>PRODUCT(H209:K209)</f>
        <v>0.003676470588235294</v>
      </c>
      <c r="M209" s="17">
        <f>G209*L209</f>
        <v>0.03606617647058823</v>
      </c>
      <c r="N209" s="17">
        <f>IF(K209=0,H209*I209,L209)</f>
        <v>0.003676470588235294</v>
      </c>
      <c r="O209" s="17">
        <f>G209*N209</f>
        <v>0.03606617647058823</v>
      </c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</row>
    <row r="210">
      <c r="A210" s="15" t="inlineStr">
        <is>
          <t>6月</t>
        </is>
      </c>
      <c r="B210" s="15" t="inlineStr">
        <is>
          <t>二、餐饮客户</t>
        </is>
      </c>
      <c r="C210" s="15" t="inlineStr">
        <is>
          <t>婚宴</t>
        </is>
      </c>
      <c r="D210" s="15" t="inlineStr">
        <is>
          <t>婚宴</t>
        </is>
      </c>
      <c r="E210" s="15" t="inlineStr">
        <is>
          <t>硬件设施</t>
        </is>
      </c>
      <c r="F210" s="15" t="inlineStr">
        <is>
          <t>硬件设施</t>
        </is>
      </c>
      <c r="G210" s="17" t="n">
        <v>9.109999999999999</v>
      </c>
      <c r="H210" s="17" t="n">
        <v>0.125</v>
      </c>
      <c r="I210" s="17" t="n">
        <v>0.05882352941176471</v>
      </c>
      <c r="J210" s="17" t="n">
        <v>1</v>
      </c>
      <c r="K210" s="17" t="n">
        <v>0.5</v>
      </c>
      <c r="L210" s="17">
        <f>PRODUCT(H210:K210)</f>
        <v>0.003676470588235294</v>
      </c>
      <c r="M210" s="17">
        <f>G210*L210</f>
        <v>0.03349264705882353</v>
      </c>
      <c r="N210" s="17">
        <f>IF(K210=0,H210*I210,L210)</f>
        <v>0.003676470588235294</v>
      </c>
      <c r="O210" s="17">
        <f>G210*N210</f>
        <v>0.03349264705882353</v>
      </c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</row>
    <row r="211">
      <c r="A211" s="15" t="inlineStr">
        <is>
          <t>6月</t>
        </is>
      </c>
      <c r="B211" s="15" t="inlineStr">
        <is>
          <t>二、餐饮客户</t>
        </is>
      </c>
      <c r="C211" s="15" t="inlineStr">
        <is>
          <t>自助餐</t>
        </is>
      </c>
      <c r="D211" s="15" t="inlineStr">
        <is>
          <t>自助餐</t>
        </is>
      </c>
      <c r="E211" s="15" t="inlineStr">
        <is>
          <t>餐饮服务</t>
        </is>
      </c>
      <c r="F211" s="15" t="inlineStr">
        <is>
          <t>餐饮服务</t>
        </is>
      </c>
      <c r="G211" s="17" t="n">
        <v>9.210000000000001</v>
      </c>
      <c r="H211" s="17" t="n">
        <v>0.125</v>
      </c>
      <c r="I211" s="17" t="n">
        <v>0.05882352941176471</v>
      </c>
      <c r="J211" s="17" t="n">
        <v>1</v>
      </c>
      <c r="K211" s="17" t="n">
        <v>0.5</v>
      </c>
      <c r="L211" s="17">
        <f>PRODUCT(H211:K211)</f>
        <v>0.003676470588235294</v>
      </c>
      <c r="M211" s="17">
        <f>G211*L211</f>
        <v>0.033860294117647065</v>
      </c>
      <c r="N211" s="17">
        <f>IF(K211=0,H211*I211,L211)</f>
        <v>0.003676470588235294</v>
      </c>
      <c r="O211" s="17">
        <f>G211*N211</f>
        <v>0.033860294117647065</v>
      </c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</row>
    <row r="212">
      <c r="A212" s="15" t="inlineStr">
        <is>
          <t>6月</t>
        </is>
      </c>
      <c r="B212" s="15" t="inlineStr">
        <is>
          <t>二、餐饮客户</t>
        </is>
      </c>
      <c r="C212" s="15" t="inlineStr">
        <is>
          <t>自助餐</t>
        </is>
      </c>
      <c r="D212" s="15" t="inlineStr">
        <is>
          <t>自助餐</t>
        </is>
      </c>
      <c r="E212" s="15" t="inlineStr">
        <is>
          <t>硬件设施</t>
        </is>
      </c>
      <c r="F212" s="15" t="inlineStr">
        <is>
          <t>硬件设施</t>
        </is>
      </c>
      <c r="G212" s="17" t="n">
        <v>10</v>
      </c>
      <c r="H212" s="17" t="n">
        <v>0.125</v>
      </c>
      <c r="I212" s="17" t="n">
        <v>0.05882352941176471</v>
      </c>
      <c r="J212" s="17" t="n">
        <v>1</v>
      </c>
      <c r="K212" s="17" t="n">
        <v>0.5</v>
      </c>
      <c r="L212" s="17">
        <f>PRODUCT(H212:K212)</f>
        <v>0.003676470588235294</v>
      </c>
      <c r="M212" s="17">
        <f>G212*L212</f>
        <v>0.03676470588235294</v>
      </c>
      <c r="N212" s="17">
        <f>IF(K212=0,H212*I212,L212)</f>
        <v>0.003676470588235294</v>
      </c>
      <c r="O212" s="17">
        <f>G212*N212</f>
        <v>0.03676470588235294</v>
      </c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</row>
    <row r="213">
      <c r="A213" s="15" t="inlineStr">
        <is>
          <t>6月</t>
        </is>
      </c>
      <c r="B213" s="15" t="inlineStr">
        <is>
          <t>三、G20峰会体验馆</t>
        </is>
      </c>
      <c r="C213" s="15" t="inlineStr">
        <is>
          <t>游客</t>
        </is>
      </c>
      <c r="D213" s="15" t="inlineStr">
        <is>
          <t>游客</t>
        </is>
      </c>
      <c r="E213" s="15" t="inlineStr">
        <is>
          <t>旅游服务</t>
        </is>
      </c>
      <c r="F213" s="15" t="inlineStr">
        <is>
          <t>产品服务</t>
        </is>
      </c>
      <c r="G213" s="17" t="n">
        <v>9.99</v>
      </c>
      <c r="H213" s="17" t="n">
        <v>0.125</v>
      </c>
      <c r="I213" s="17" t="n">
        <v>0.05882352941176471</v>
      </c>
      <c r="J213" s="17" t="n">
        <v>1</v>
      </c>
      <c r="K213" s="17" t="n">
        <v>0.5</v>
      </c>
      <c r="L213" s="17">
        <f>PRODUCT(H213:K213)</f>
        <v>0.003676470588235294</v>
      </c>
      <c r="M213" s="17">
        <f>G213*L213</f>
        <v>0.03672794117647059</v>
      </c>
      <c r="N213" s="17">
        <f>IF(K213=0,H213*I213,L213)</f>
        <v>0.003676470588235294</v>
      </c>
      <c r="O213" s="17">
        <f>G213*N213</f>
        <v>0.03672794117647059</v>
      </c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</row>
    <row r="214">
      <c r="A214" s="15" t="inlineStr">
        <is>
          <t>6月</t>
        </is>
      </c>
      <c r="B214" s="15" t="inlineStr">
        <is>
          <t>三、G20峰会体验馆</t>
        </is>
      </c>
      <c r="C214" s="15" t="inlineStr">
        <is>
          <t>游客</t>
        </is>
      </c>
      <c r="D214" s="15" t="inlineStr">
        <is>
          <t>游客</t>
        </is>
      </c>
      <c r="E214" s="15" t="inlineStr">
        <is>
          <t>硬件设施</t>
        </is>
      </c>
      <c r="F214" s="15" t="inlineStr">
        <is>
          <t>硬件设施</t>
        </is>
      </c>
      <c r="G214" s="17" t="n">
        <v>9.75</v>
      </c>
      <c r="H214" s="17" t="n">
        <v>0.125</v>
      </c>
      <c r="I214" s="17" t="n">
        <v>0.05882352941176471</v>
      </c>
      <c r="J214" s="17" t="n">
        <v>1</v>
      </c>
      <c r="K214" s="17" t="n">
        <v>0.5</v>
      </c>
      <c r="L214" s="17">
        <f>PRODUCT(H214:K214)</f>
        <v>0.003676470588235294</v>
      </c>
      <c r="M214" s="17">
        <f>G214*L214</f>
        <v>0.035845588235294115</v>
      </c>
      <c r="N214" s="17">
        <f>IF(K214=0,H214*I214,L214)</f>
        <v>0.003676470588235294</v>
      </c>
      <c r="O214" s="17">
        <f>G214*N214</f>
        <v>0.035845588235294115</v>
      </c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</row>
    <row r="215">
      <c r="A215" s="15" t="inlineStr">
        <is>
          <t>6月</t>
        </is>
      </c>
      <c r="B215" s="15" t="inlineStr">
        <is>
          <t>三、G20峰会体验馆</t>
        </is>
      </c>
      <c r="C215" s="15" t="inlineStr">
        <is>
          <t>旅行社工作人员</t>
        </is>
      </c>
      <c r="D215" s="15" t="inlineStr">
        <is>
          <t>旅行社工作人员</t>
        </is>
      </c>
      <c r="E215" s="15" t="inlineStr">
        <is>
          <t>旅游服务</t>
        </is>
      </c>
      <c r="F215" s="15" t="inlineStr">
        <is>
          <t>产品服务</t>
        </is>
      </c>
      <c r="G215" s="17" t="n">
        <v>10</v>
      </c>
      <c r="H215" s="17" t="n">
        <v>0.125</v>
      </c>
      <c r="I215" s="17" t="n">
        <v>0.05882352941176471</v>
      </c>
      <c r="J215" s="17" t="n">
        <v>1</v>
      </c>
      <c r="K215" s="17" t="n">
        <v>0.5</v>
      </c>
      <c r="L215" s="17">
        <f>PRODUCT(H215:K215)</f>
        <v>0.003676470588235294</v>
      </c>
      <c r="M215" s="17">
        <f>G215*L215</f>
        <v>0.03676470588235294</v>
      </c>
      <c r="N215" s="17">
        <f>IF(K215=0,H215*I215,L215)</f>
        <v>0.003676470588235294</v>
      </c>
      <c r="O215" s="17">
        <f>G215*N215</f>
        <v>0.03676470588235294</v>
      </c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</row>
    <row r="216">
      <c r="A216" s="15" t="inlineStr">
        <is>
          <t>6月</t>
        </is>
      </c>
      <c r="B216" s="15" t="inlineStr">
        <is>
          <t>三、G20峰会体验馆</t>
        </is>
      </c>
      <c r="C216" s="15" t="inlineStr">
        <is>
          <t>旅行社工作人员</t>
        </is>
      </c>
      <c r="D216" s="15" t="inlineStr">
        <is>
          <t>旅行社工作人员</t>
        </is>
      </c>
      <c r="E216" s="15" t="inlineStr">
        <is>
          <t>硬件设施</t>
        </is>
      </c>
      <c r="F216" s="15" t="inlineStr">
        <is>
          <t>硬件设施</t>
        </is>
      </c>
      <c r="G216" s="17" t="n">
        <v>10</v>
      </c>
      <c r="H216" s="17" t="n">
        <v>0.125</v>
      </c>
      <c r="I216" s="17" t="n">
        <v>0.05882352941176471</v>
      </c>
      <c r="J216" s="17" t="n">
        <v>1</v>
      </c>
      <c r="K216" s="17" t="n">
        <v>0.5</v>
      </c>
      <c r="L216" s="17">
        <f>PRODUCT(H216:K216)</f>
        <v>0.003676470588235294</v>
      </c>
      <c r="M216" s="17">
        <f>G216*L216</f>
        <v>0.03676470588235294</v>
      </c>
      <c r="N216" s="17">
        <f>IF(K216=0,H216*I216,L216)</f>
        <v>0.003676470588235294</v>
      </c>
      <c r="O216" s="17">
        <f>G216*N216</f>
        <v>0.03676470588235294</v>
      </c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</row>
    <row r="217">
      <c r="A217" s="15" t="inlineStr">
        <is>
          <t>6月</t>
        </is>
      </c>
      <c r="B217" s="15" t="inlineStr">
        <is>
          <t>五、酒店客户</t>
        </is>
      </c>
      <c r="C217" s="15" t="inlineStr">
        <is>
          <t>酒店散客</t>
        </is>
      </c>
      <c r="D217" s="15" t="inlineStr">
        <is>
          <t>散客</t>
        </is>
      </c>
      <c r="E217" s="15" t="inlineStr">
        <is>
          <t>硬件设施</t>
        </is>
      </c>
      <c r="F217" s="15" t="inlineStr">
        <is>
          <t>硬件设施</t>
        </is>
      </c>
      <c r="G217" s="17" t="n">
        <v>9.630000000000001</v>
      </c>
      <c r="H217" s="17" t="n">
        <v>0.125</v>
      </c>
      <c r="I217" s="17" t="n">
        <v>0.05882352941176471</v>
      </c>
      <c r="J217" s="17" t="n">
        <v>1</v>
      </c>
      <c r="K217" s="17" t="n">
        <v>0.3333333333333333</v>
      </c>
      <c r="L217" s="17">
        <f>PRODUCT(H217:K217)</f>
        <v>0.0024509803921568627</v>
      </c>
      <c r="M217" s="17">
        <f>G217*L217</f>
        <v>0.02360294117647059</v>
      </c>
      <c r="N217" s="17">
        <f>IF(K217=0,H217*I217,L217)</f>
        <v>0.0024509803921568627</v>
      </c>
      <c r="O217" s="17">
        <f>G217*N217</f>
        <v>0.02360294117647059</v>
      </c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</row>
    <row r="218">
      <c r="A218" s="15" t="inlineStr">
        <is>
          <t>6月</t>
        </is>
      </c>
      <c r="B218" s="15" t="inlineStr">
        <is>
          <t>五、酒店客户</t>
        </is>
      </c>
      <c r="C218" s="15" t="inlineStr">
        <is>
          <t>酒店散客</t>
        </is>
      </c>
      <c r="D218" s="15" t="inlineStr">
        <is>
          <t>散客</t>
        </is>
      </c>
      <c r="E218" s="15" t="inlineStr">
        <is>
          <t>入住服务</t>
        </is>
      </c>
      <c r="F218" s="15" t="inlineStr">
        <is>
          <t>产品服务</t>
        </is>
      </c>
      <c r="G218" s="17" t="n">
        <v>10</v>
      </c>
      <c r="H218" s="17" t="n">
        <v>0.125</v>
      </c>
      <c r="I218" s="17" t="n">
        <v>0.05882352941176471</v>
      </c>
      <c r="J218" s="17" t="n">
        <v>1</v>
      </c>
      <c r="K218" s="17" t="n">
        <v>0.3333333333333333</v>
      </c>
      <c r="L218" s="17">
        <f>PRODUCT(H218:K218)</f>
        <v>0.0024509803921568627</v>
      </c>
      <c r="M218" s="17">
        <f>G218*L218</f>
        <v>0.024509803921568627</v>
      </c>
      <c r="N218" s="17">
        <f>IF(K218=0,H218*I218,L218)</f>
        <v>0.0024509803921568627</v>
      </c>
      <c r="O218" s="17">
        <f>G218*N218</f>
        <v>0.024509803921568627</v>
      </c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</row>
    <row r="219">
      <c r="A219" s="15" t="inlineStr">
        <is>
          <t>6月</t>
        </is>
      </c>
      <c r="B219" s="15" t="inlineStr">
        <is>
          <t>五、酒店客户</t>
        </is>
      </c>
      <c r="C219" s="15" t="inlineStr">
        <is>
          <t>酒店散客</t>
        </is>
      </c>
      <c r="D219" s="15" t="inlineStr">
        <is>
          <t>散客</t>
        </is>
      </c>
      <c r="E219" s="15" t="inlineStr">
        <is>
          <t>餐饮服务</t>
        </is>
      </c>
      <c r="F219" s="15" t="inlineStr">
        <is>
          <t>餐饮服务</t>
        </is>
      </c>
      <c r="G219" s="17" t="n">
        <v>10</v>
      </c>
      <c r="H219" s="17" t="n">
        <v>0.125</v>
      </c>
      <c r="I219" s="17" t="n">
        <v>0.05882352941176471</v>
      </c>
      <c r="J219" s="17" t="n">
        <v>1</v>
      </c>
      <c r="K219" s="17" t="n">
        <v>0.3333333333333333</v>
      </c>
      <c r="L219" s="17">
        <f>PRODUCT(H219:K219)</f>
        <v>0.0024509803921568627</v>
      </c>
      <c r="M219" s="17">
        <f>G219*L219</f>
        <v>0.024509803921568627</v>
      </c>
      <c r="N219" s="17">
        <f>IF(K219=0,H219*I219,L219)</f>
        <v>0.0024509803921568627</v>
      </c>
      <c r="O219" s="17">
        <f>G219*N219</f>
        <v>0.024509803921568627</v>
      </c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</row>
    <row r="220">
      <c r="A220" s="15" t="inlineStr">
        <is>
          <t>6月</t>
        </is>
      </c>
      <c r="B220" s="15" t="inlineStr">
        <is>
          <t>五、酒店客户</t>
        </is>
      </c>
      <c r="C220" s="15" t="inlineStr">
        <is>
          <t>酒店住宿团队</t>
        </is>
      </c>
      <c r="D220" s="15" t="inlineStr">
        <is>
          <t>住宿团队</t>
        </is>
      </c>
      <c r="E220" s="15" t="inlineStr">
        <is>
          <t>硬件设施</t>
        </is>
      </c>
      <c r="F220" s="15" t="inlineStr">
        <is>
          <t>硬件设施</t>
        </is>
      </c>
      <c r="G220" s="17" t="n">
        <v>9.82</v>
      </c>
      <c r="H220" s="17" t="n">
        <v>0.125</v>
      </c>
      <c r="I220" s="17" t="n">
        <v>0.05882352941176471</v>
      </c>
      <c r="J220" s="17" t="n">
        <v>1</v>
      </c>
      <c r="K220" s="17" t="n">
        <v>0.3333333333333333</v>
      </c>
      <c r="L220" s="17">
        <f>PRODUCT(H220:K220)</f>
        <v>0.0024509803921568627</v>
      </c>
      <c r="M220" s="17">
        <f>G220*L220</f>
        <v>0.024068627450980394</v>
      </c>
      <c r="N220" s="17">
        <f>IF(K220=0,H220*I220,L220)</f>
        <v>0.0024509803921568627</v>
      </c>
      <c r="O220" s="17">
        <f>G220*N220</f>
        <v>0.024068627450980394</v>
      </c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</row>
    <row r="221">
      <c r="A221" s="15" t="inlineStr">
        <is>
          <t>6月</t>
        </is>
      </c>
      <c r="B221" s="15" t="inlineStr">
        <is>
          <t>五、酒店客户</t>
        </is>
      </c>
      <c r="C221" s="15" t="inlineStr">
        <is>
          <t>酒店住宿团队</t>
        </is>
      </c>
      <c r="D221" s="15" t="inlineStr">
        <is>
          <t>住宿团队</t>
        </is>
      </c>
      <c r="E221" s="15" t="inlineStr">
        <is>
          <t>入住服务</t>
        </is>
      </c>
      <c r="F221" s="15" t="inlineStr">
        <is>
          <t>产品服务</t>
        </is>
      </c>
      <c r="G221" s="17" t="n">
        <v>10</v>
      </c>
      <c r="H221" s="17" t="n">
        <v>0.125</v>
      </c>
      <c r="I221" s="17" t="n">
        <v>0.05882352941176471</v>
      </c>
      <c r="J221" s="17" t="n">
        <v>1</v>
      </c>
      <c r="K221" s="17" t="n">
        <v>0.3333333333333333</v>
      </c>
      <c r="L221" s="17">
        <f>PRODUCT(H221:K221)</f>
        <v>0.0024509803921568627</v>
      </c>
      <c r="M221" s="17">
        <f>G221*L221</f>
        <v>0.024509803921568627</v>
      </c>
      <c r="N221" s="17">
        <f>IF(K221=0,H221*I221,L221)</f>
        <v>0.0024509803921568627</v>
      </c>
      <c r="O221" s="17">
        <f>G221*N221</f>
        <v>0.024509803921568627</v>
      </c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</row>
    <row r="222">
      <c r="A222" s="15" t="inlineStr">
        <is>
          <t>6月</t>
        </is>
      </c>
      <c r="B222" s="15" t="inlineStr">
        <is>
          <t>五、酒店客户</t>
        </is>
      </c>
      <c r="C222" s="15" t="inlineStr">
        <is>
          <t>酒店住宿团队</t>
        </is>
      </c>
      <c r="D222" s="15" t="inlineStr">
        <is>
          <t>住宿团队</t>
        </is>
      </c>
      <c r="E222" s="15" t="inlineStr">
        <is>
          <t>餐饮服务</t>
        </is>
      </c>
      <c r="F222" s="15" t="inlineStr">
        <is>
          <t>餐饮服务</t>
        </is>
      </c>
      <c r="G222" s="17" t="n">
        <v>9.98</v>
      </c>
      <c r="H222" s="17" t="n">
        <v>0.125</v>
      </c>
      <c r="I222" s="17" t="n">
        <v>0.05882352941176471</v>
      </c>
      <c r="J222" s="17" t="n">
        <v>1</v>
      </c>
      <c r="K222" s="17" t="n">
        <v>0.3333333333333333</v>
      </c>
      <c r="L222" s="17">
        <f>PRODUCT(H222:K222)</f>
        <v>0.0024509803921568627</v>
      </c>
      <c r="M222" s="17">
        <f>G222*L222</f>
        <v>0.02446078431372549</v>
      </c>
      <c r="N222" s="17">
        <f>IF(K222=0,H222*I222,L222)</f>
        <v>0.0024509803921568627</v>
      </c>
      <c r="O222" s="17">
        <f>G222*N222</f>
        <v>0.02446078431372549</v>
      </c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</row>
    <row r="223">
      <c r="A223" s="15" t="inlineStr">
        <is>
          <t>6月</t>
        </is>
      </c>
      <c r="B223" s="15" t="inlineStr">
        <is>
          <t>五、酒店客户</t>
        </is>
      </c>
      <c r="C223" s="15" t="inlineStr">
        <is>
          <t>酒店参会客户</t>
        </is>
      </c>
      <c r="D223" s="15" t="inlineStr">
        <is>
          <t>酒店参会客户</t>
        </is>
      </c>
      <c r="E223" s="15" t="inlineStr">
        <is>
          <t>会展服务</t>
        </is>
      </c>
      <c r="F223" s="15" t="inlineStr">
        <is>
          <t>产品服务</t>
        </is>
      </c>
      <c r="G223" s="17" t="n">
        <v>9.859999999999999</v>
      </c>
      <c r="H223" s="17" t="n">
        <v>0.125</v>
      </c>
      <c r="I223" s="17" t="n">
        <v>0.05882352941176471</v>
      </c>
      <c r="J223" s="17" t="n">
        <v>1</v>
      </c>
      <c r="K223" s="17" t="n">
        <v>0.25</v>
      </c>
      <c r="L223" s="17">
        <f>PRODUCT(H223:K223)</f>
        <v>0.001838235294117647</v>
      </c>
      <c r="M223" s="17">
        <f>G223*L223</f>
        <v>0.018125</v>
      </c>
      <c r="N223" s="17">
        <f>IF(K223=0,H223*I223,L223)</f>
        <v>0.001838235294117647</v>
      </c>
      <c r="O223" s="17">
        <f>G223*N223</f>
        <v>0.018125</v>
      </c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</row>
    <row r="224">
      <c r="A224" s="15" t="inlineStr">
        <is>
          <t>6月</t>
        </is>
      </c>
      <c r="B224" s="15" t="inlineStr">
        <is>
          <t>五、酒店客户</t>
        </is>
      </c>
      <c r="C224" s="15" t="inlineStr">
        <is>
          <t>酒店参会客户</t>
        </is>
      </c>
      <c r="D224" s="15" t="inlineStr">
        <is>
          <t>酒店参会客户</t>
        </is>
      </c>
      <c r="E224" s="15" t="inlineStr">
        <is>
          <t>硬件设施</t>
        </is>
      </c>
      <c r="F224" s="15" t="inlineStr">
        <is>
          <t>硬件设施</t>
        </is>
      </c>
      <c r="G224" s="17" t="n">
        <v>9.44</v>
      </c>
      <c r="H224" s="17" t="n">
        <v>0.125</v>
      </c>
      <c r="I224" s="17" t="n">
        <v>0.05882352941176471</v>
      </c>
      <c r="J224" s="17" t="n">
        <v>1</v>
      </c>
      <c r="K224" s="17" t="n">
        <v>0.25</v>
      </c>
      <c r="L224" s="17">
        <f>PRODUCT(H224:K224)</f>
        <v>0.001838235294117647</v>
      </c>
      <c r="M224" s="17">
        <f>G224*L224</f>
        <v>0.01735294117647059</v>
      </c>
      <c r="N224" s="17">
        <f>IF(K224=0,H224*I224,L224)</f>
        <v>0.001838235294117647</v>
      </c>
      <c r="O224" s="17">
        <f>G224*N224</f>
        <v>0.01735294117647059</v>
      </c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</row>
    <row r="225">
      <c r="A225" s="15" t="inlineStr">
        <is>
          <t>6月</t>
        </is>
      </c>
      <c r="B225" s="15" t="inlineStr">
        <is>
          <t>五、酒店客户</t>
        </is>
      </c>
      <c r="C225" s="15" t="inlineStr">
        <is>
          <t>酒店参会客户</t>
        </is>
      </c>
      <c r="D225" s="15" t="inlineStr">
        <is>
          <t>酒店参会客户</t>
        </is>
      </c>
      <c r="E225" s="15" t="inlineStr">
        <is>
          <t>配套服务</t>
        </is>
      </c>
      <c r="F225" s="15" t="inlineStr">
        <is>
          <t>配套服务</t>
        </is>
      </c>
      <c r="G225" s="17" t="n">
        <v>9.56</v>
      </c>
      <c r="H225" s="17" t="n">
        <v>0.125</v>
      </c>
      <c r="I225" s="17" t="n">
        <v>0.05882352941176471</v>
      </c>
      <c r="J225" s="17" t="n">
        <v>1</v>
      </c>
      <c r="K225" s="17" t="n">
        <v>0.25</v>
      </c>
      <c r="L225" s="17">
        <f>PRODUCT(H225:K225)</f>
        <v>0.001838235294117647</v>
      </c>
      <c r="M225" s="17">
        <f>G225*L225</f>
        <v>0.017573529411764707</v>
      </c>
      <c r="N225" s="17">
        <f>IF(K225=0,H225*I225,L225)</f>
        <v>0.001838235294117647</v>
      </c>
      <c r="O225" s="17">
        <f>G225*N225</f>
        <v>0.017573529411764707</v>
      </c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</row>
    <row r="226">
      <c r="A226" s="15" t="inlineStr">
        <is>
          <t>6月</t>
        </is>
      </c>
      <c r="B226" s="15" t="inlineStr">
        <is>
          <t>五、酒店客户</t>
        </is>
      </c>
      <c r="C226" s="15" t="inlineStr">
        <is>
          <t>酒店参会客户</t>
        </is>
      </c>
      <c r="D226" s="15" t="inlineStr">
        <is>
          <t>酒店参会客户</t>
        </is>
      </c>
      <c r="E226" s="15" t="inlineStr">
        <is>
          <t>智慧场馆</t>
        </is>
      </c>
      <c r="F226" s="15" t="inlineStr">
        <is>
          <t>智慧场馆/服务</t>
        </is>
      </c>
      <c r="G226" s="17" t="n">
        <v>10</v>
      </c>
      <c r="H226" s="17" t="n">
        <v>0.125</v>
      </c>
      <c r="I226" s="17" t="n">
        <v>0.05882352941176471</v>
      </c>
      <c r="J226" s="17" t="n">
        <v>1</v>
      </c>
      <c r="K226" s="17" t="n">
        <v>0.25</v>
      </c>
      <c r="L226" s="17">
        <f>PRODUCT(H226:K226)</f>
        <v>0.001838235294117647</v>
      </c>
      <c r="M226" s="17">
        <f>G226*L226</f>
        <v>0.01838235294117647</v>
      </c>
      <c r="N226" s="17">
        <f>IF(K226=0,H226*I226,L226)</f>
        <v>0.001838235294117647</v>
      </c>
      <c r="O226" s="17">
        <f>G226*N226</f>
        <v>0.01838235294117647</v>
      </c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</row>
    <row r="227">
      <c r="A227" s="15" t="inlineStr">
        <is>
          <t>6月</t>
        </is>
      </c>
      <c r="B227" s="15" t="inlineStr">
        <is>
          <t>五、酒店客户</t>
        </is>
      </c>
      <c r="C227" s="15" t="inlineStr">
        <is>
          <t>酒店参会客户</t>
        </is>
      </c>
      <c r="D227" s="15" t="inlineStr">
        <is>
          <t>配套服务子项</t>
        </is>
      </c>
      <c r="E227" s="15" t="inlineStr">
        <is>
          <t>其中：餐饮服务</t>
        </is>
      </c>
      <c r="F227" s="15" t="inlineStr">
        <is>
          <t>餐饮服务</t>
        </is>
      </c>
      <c r="G227" s="17" t="n">
        <v>8.94</v>
      </c>
      <c r="H227" s="17" t="n">
        <v>0.125</v>
      </c>
      <c r="I227" s="17" t="n">
        <v>0.05882352941176471</v>
      </c>
      <c r="J227" s="17" t="n">
        <v>1</v>
      </c>
      <c r="K227" s="17" t="n">
        <v>0</v>
      </c>
      <c r="L227" s="17">
        <f>PRODUCT(H227:K227)</f>
        <v>0.0</v>
      </c>
      <c r="M227" s="17">
        <f>G227*L227</f>
        <v>0.0</v>
      </c>
      <c r="N227" s="17">
        <f>IF(K227=0,H227*I227,L227)</f>
        <v>0.007352941176470588</v>
      </c>
      <c r="O227" s="17">
        <f>G227*N227</f>
        <v>0.06573529411764706</v>
      </c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</row>
    <row r="228">
      <c r="A228" s="15" t="inlineStr">
        <is>
          <t>6月</t>
        </is>
      </c>
      <c r="B228" s="15" t="inlineStr">
        <is>
          <t>五、酒店客户</t>
        </is>
      </c>
      <c r="C228" s="15" t="inlineStr">
        <is>
          <t>酒店会议主（承）办</t>
        </is>
      </c>
      <c r="D228" s="15" t="inlineStr">
        <is>
          <t>酒店会议主承办</t>
        </is>
      </c>
      <c r="E228" s="15" t="inlineStr">
        <is>
          <t>会展服务</t>
        </is>
      </c>
      <c r="F228" s="15" t="inlineStr">
        <is>
          <t>产品服务</t>
        </is>
      </c>
      <c r="G228" s="17" t="n">
        <v>9.619999999999999</v>
      </c>
      <c r="H228" s="17" t="n">
        <v>0.125</v>
      </c>
      <c r="I228" s="17" t="n">
        <v>0.05882352941176471</v>
      </c>
      <c r="J228" s="17" t="n">
        <v>1</v>
      </c>
      <c r="K228" s="17" t="n">
        <v>0.25</v>
      </c>
      <c r="L228" s="17">
        <f>PRODUCT(H228:K228)</f>
        <v>0.001838235294117647</v>
      </c>
      <c r="M228" s="17">
        <f>G228*L228</f>
        <v>0.017683823529411762</v>
      </c>
      <c r="N228" s="17">
        <f>IF(K228=0,H228*I228,L228)</f>
        <v>0.001838235294117647</v>
      </c>
      <c r="O228" s="17">
        <f>G228*N228</f>
        <v>0.017683823529411762</v>
      </c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</row>
    <row r="229">
      <c r="A229" s="15" t="inlineStr">
        <is>
          <t>6月</t>
        </is>
      </c>
      <c r="B229" s="15" t="inlineStr">
        <is>
          <t>五、酒店客户</t>
        </is>
      </c>
      <c r="C229" s="15" t="inlineStr">
        <is>
          <t>酒店会议主（承）办</t>
        </is>
      </c>
      <c r="D229" s="15" t="inlineStr">
        <is>
          <t>酒店会议主承办</t>
        </is>
      </c>
      <c r="E229" s="15" t="inlineStr">
        <is>
          <t>硬件设施</t>
        </is>
      </c>
      <c r="F229" s="15" t="inlineStr">
        <is>
          <t>硬件设施</t>
        </is>
      </c>
      <c r="G229" s="17" t="n">
        <v>9.5</v>
      </c>
      <c r="H229" s="17" t="n">
        <v>0.125</v>
      </c>
      <c r="I229" s="17" t="n">
        <v>0.05882352941176471</v>
      </c>
      <c r="J229" s="17" t="n">
        <v>1</v>
      </c>
      <c r="K229" s="17" t="n">
        <v>0.25</v>
      </c>
      <c r="L229" s="17">
        <f>PRODUCT(H229:K229)</f>
        <v>0.001838235294117647</v>
      </c>
      <c r="M229" s="17">
        <f>G229*L229</f>
        <v>0.017463235294117647</v>
      </c>
      <c r="N229" s="17">
        <f>IF(K229=0,H229*I229,L229)</f>
        <v>0.001838235294117647</v>
      </c>
      <c r="O229" s="17">
        <f>G229*N229</f>
        <v>0.017463235294117647</v>
      </c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</row>
    <row r="230">
      <c r="A230" s="15" t="inlineStr">
        <is>
          <t>6月</t>
        </is>
      </c>
      <c r="B230" s="15" t="inlineStr">
        <is>
          <t>五、酒店客户</t>
        </is>
      </c>
      <c r="C230" s="15" t="inlineStr">
        <is>
          <t>酒店会议主（承）办</t>
        </is>
      </c>
      <c r="D230" s="15" t="inlineStr">
        <is>
          <t>酒店会议主承办</t>
        </is>
      </c>
      <c r="E230" s="15" t="inlineStr">
        <is>
          <t>配套服务</t>
        </is>
      </c>
      <c r="F230" s="15" t="inlineStr">
        <is>
          <t>配套服务</t>
        </is>
      </c>
      <c r="G230" s="17" t="n">
        <v>9.039999999999999</v>
      </c>
      <c r="H230" s="17" t="n">
        <v>0.125</v>
      </c>
      <c r="I230" s="17" t="n">
        <v>0.05882352941176471</v>
      </c>
      <c r="J230" s="17" t="n">
        <v>1</v>
      </c>
      <c r="K230" s="17" t="n">
        <v>0.25</v>
      </c>
      <c r="L230" s="17">
        <f>PRODUCT(H230:K230)</f>
        <v>0.001838235294117647</v>
      </c>
      <c r="M230" s="17">
        <f>G230*L230</f>
        <v>0.01661764705882353</v>
      </c>
      <c r="N230" s="17">
        <f>IF(K230=0,H230*I230,L230)</f>
        <v>0.001838235294117647</v>
      </c>
      <c r="O230" s="17">
        <f>G230*N230</f>
        <v>0.01661764705882353</v>
      </c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</row>
    <row r="231">
      <c r="A231" s="15" t="inlineStr">
        <is>
          <t>6月</t>
        </is>
      </c>
      <c r="B231" s="15" t="inlineStr">
        <is>
          <t>五、酒店客户</t>
        </is>
      </c>
      <c r="C231" s="15" t="inlineStr">
        <is>
          <t>酒店会议主（承）办</t>
        </is>
      </c>
      <c r="D231" s="15" t="inlineStr">
        <is>
          <t>酒店会议主承办</t>
        </is>
      </c>
      <c r="E231" s="15" t="inlineStr">
        <is>
          <t>智慧场馆</t>
        </is>
      </c>
      <c r="F231" s="15" t="inlineStr">
        <is>
          <t>智慧场馆/服务</t>
        </is>
      </c>
      <c r="G231" s="17" t="n">
        <v>10</v>
      </c>
      <c r="H231" s="17" t="n">
        <v>0.125</v>
      </c>
      <c r="I231" s="17" t="n">
        <v>0.05882352941176471</v>
      </c>
      <c r="J231" s="17" t="n">
        <v>1</v>
      </c>
      <c r="K231" s="17" t="n">
        <v>0.25</v>
      </c>
      <c r="L231" s="17">
        <f>PRODUCT(H231:K231)</f>
        <v>0.001838235294117647</v>
      </c>
      <c r="M231" s="17">
        <f>G231*L231</f>
        <v>0.01838235294117647</v>
      </c>
      <c r="N231" s="17">
        <f>IF(K231=0,H231*I231,L231)</f>
        <v>0.001838235294117647</v>
      </c>
      <c r="O231" s="17">
        <f>G231*N231</f>
        <v>0.01838235294117647</v>
      </c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</row>
    <row r="232">
      <c r="A232" s="15" t="inlineStr">
        <is>
          <t>6月</t>
        </is>
      </c>
      <c r="B232" s="15" t="inlineStr">
        <is>
          <t>五、酒店客户</t>
        </is>
      </c>
      <c r="C232" s="15" t="inlineStr">
        <is>
          <t>酒店会议主（承）办</t>
        </is>
      </c>
      <c r="D232" s="15" t="inlineStr">
        <is>
          <t>配套服务子项</t>
        </is>
      </c>
      <c r="E232" s="15" t="inlineStr">
        <is>
          <t>其中：餐饮服务</t>
        </is>
      </c>
      <c r="F232" s="15" t="inlineStr">
        <is>
          <t>餐饮服务</t>
        </is>
      </c>
      <c r="G232" s="17" t="n">
        <v>7.5</v>
      </c>
      <c r="H232" s="17" t="n">
        <v>0.125</v>
      </c>
      <c r="I232" s="17" t="n">
        <v>0.05882352941176471</v>
      </c>
      <c r="J232" s="17" t="n">
        <v>1</v>
      </c>
      <c r="K232" s="17" t="n">
        <v>0</v>
      </c>
      <c r="L232" s="17">
        <f>PRODUCT(H232:K232)</f>
        <v>0.0</v>
      </c>
      <c r="M232" s="17">
        <f>G232*L232</f>
        <v>0.0</v>
      </c>
      <c r="N232" s="17">
        <f>IF(K232=0,H232*I232,L232)</f>
        <v>0.007352941176470588</v>
      </c>
      <c r="O232" s="17">
        <f>G232*N232</f>
        <v>0.05514705882352941</v>
      </c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</row>
    <row r="233">
      <c r="A233" s="15" t="inlineStr">
        <is>
          <t>6月</t>
        </is>
      </c>
      <c r="B233" s="15" t="inlineStr">
        <is>
          <t>五、酒店客户</t>
        </is>
      </c>
      <c r="C233" s="15" t="inlineStr">
        <is>
          <t>酒店餐饮客户</t>
        </is>
      </c>
      <c r="D233" s="15" t="inlineStr">
        <is>
          <t>酒店宴会</t>
        </is>
      </c>
      <c r="E233" s="15" t="inlineStr">
        <is>
          <t>餐饮服务</t>
        </is>
      </c>
      <c r="F233" s="15" t="inlineStr">
        <is>
          <t>餐饮服务</t>
        </is>
      </c>
      <c r="G233" s="17" t="n">
        <v>9.890000000000001</v>
      </c>
      <c r="H233" s="17" t="n">
        <v>0.125</v>
      </c>
      <c r="I233" s="17" t="n">
        <v>0.05882352941176471</v>
      </c>
      <c r="J233" s="17" t="n">
        <v>0.5</v>
      </c>
      <c r="K233" s="17" t="n">
        <v>0.5</v>
      </c>
      <c r="L233" s="17">
        <f>PRODUCT(H233:K233)</f>
        <v>0.001838235294117647</v>
      </c>
      <c r="M233" s="17">
        <f>G233*L233</f>
        <v>0.01818014705882353</v>
      </c>
      <c r="N233" s="17">
        <f>IF(K233=0,H233*I233,L233)</f>
        <v>0.001838235294117647</v>
      </c>
      <c r="O233" s="17">
        <f>G233*N233</f>
        <v>0.01818014705882353</v>
      </c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</row>
    <row r="234">
      <c r="A234" s="15" t="inlineStr">
        <is>
          <t>6月</t>
        </is>
      </c>
      <c r="B234" s="15" t="inlineStr">
        <is>
          <t>五、酒店客户</t>
        </is>
      </c>
      <c r="C234" s="15" t="inlineStr">
        <is>
          <t>酒店餐饮客户</t>
        </is>
      </c>
      <c r="D234" s="15" t="inlineStr">
        <is>
          <t>酒店宴会</t>
        </is>
      </c>
      <c r="E234" s="15" t="inlineStr">
        <is>
          <t>硬件设施</t>
        </is>
      </c>
      <c r="F234" s="15" t="inlineStr">
        <is>
          <t>硬件设施</t>
        </is>
      </c>
      <c r="G234" s="17" t="n">
        <v>9.609999999999999</v>
      </c>
      <c r="H234" s="17" t="n">
        <v>0.125</v>
      </c>
      <c r="I234" s="17" t="n">
        <v>0.05882352941176471</v>
      </c>
      <c r="J234" s="17" t="n">
        <v>0.5</v>
      </c>
      <c r="K234" s="17" t="n">
        <v>0.5</v>
      </c>
      <c r="L234" s="17">
        <f>PRODUCT(H234:K234)</f>
        <v>0.001838235294117647</v>
      </c>
      <c r="M234" s="17">
        <f>G234*L234</f>
        <v>0.01766544117647059</v>
      </c>
      <c r="N234" s="17">
        <f>IF(K234=0,H234*I234,L234)</f>
        <v>0.001838235294117647</v>
      </c>
      <c r="O234" s="17">
        <f>G234*N234</f>
        <v>0.01766544117647059</v>
      </c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</row>
    <row r="235">
      <c r="A235" s="15" t="inlineStr">
        <is>
          <t>6月</t>
        </is>
      </c>
      <c r="B235" s="15" t="inlineStr">
        <is>
          <t>五、酒店客户</t>
        </is>
      </c>
      <c r="C235" s="15" t="inlineStr">
        <is>
          <t>酒店餐饮客户</t>
        </is>
      </c>
      <c r="D235" s="15" t="inlineStr">
        <is>
          <t>酒店自助餐</t>
        </is>
      </c>
      <c r="E235" s="15" t="inlineStr">
        <is>
          <t>餐饮服务</t>
        </is>
      </c>
      <c r="F235" s="15" t="inlineStr">
        <is>
          <t>餐饮服务</t>
        </is>
      </c>
      <c r="G235" s="17" t="n">
        <v>9.869999999999999</v>
      </c>
      <c r="H235" s="17" t="n">
        <v>0.125</v>
      </c>
      <c r="I235" s="17" t="n">
        <v>0.05882352941176471</v>
      </c>
      <c r="J235" s="17" t="n">
        <v>0.5</v>
      </c>
      <c r="K235" s="17" t="n">
        <v>0.5</v>
      </c>
      <c r="L235" s="17">
        <f>PRODUCT(H235:K235)</f>
        <v>0.001838235294117647</v>
      </c>
      <c r="M235" s="17">
        <f>G235*L235</f>
        <v>0.018143382352941176</v>
      </c>
      <c r="N235" s="17">
        <f>IF(K235=0,H235*I235,L235)</f>
        <v>0.001838235294117647</v>
      </c>
      <c r="O235" s="17">
        <f>G235*N235</f>
        <v>0.018143382352941176</v>
      </c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</row>
    <row r="236">
      <c r="A236" s="15" t="inlineStr">
        <is>
          <t>6月</t>
        </is>
      </c>
      <c r="B236" s="15" t="inlineStr">
        <is>
          <t>五、酒店客户</t>
        </is>
      </c>
      <c r="C236" s="15" t="inlineStr">
        <is>
          <t>酒店餐饮客户</t>
        </is>
      </c>
      <c r="D236" s="15" t="inlineStr">
        <is>
          <t>酒店自助餐</t>
        </is>
      </c>
      <c r="E236" s="15" t="inlineStr">
        <is>
          <t>硬件设施</t>
        </is>
      </c>
      <c r="F236" s="15" t="inlineStr">
        <is>
          <t>硬件设施</t>
        </is>
      </c>
      <c r="G236" s="17" t="n">
        <v>9.880000000000001</v>
      </c>
      <c r="H236" s="17" t="n">
        <v>0.125</v>
      </c>
      <c r="I236" s="17" t="n">
        <v>0.05882352941176471</v>
      </c>
      <c r="J236" s="17" t="n">
        <v>0.5</v>
      </c>
      <c r="K236" s="17" t="n">
        <v>0.5</v>
      </c>
      <c r="L236" s="17">
        <f>PRODUCT(H236:K236)</f>
        <v>0.001838235294117647</v>
      </c>
      <c r="M236" s="17">
        <f>G236*L236</f>
        <v>0.018161764705882353</v>
      </c>
      <c r="N236" s="17">
        <f>IF(K236=0,H236*I236,L236)</f>
        <v>0.001838235294117647</v>
      </c>
      <c r="O236" s="17">
        <f>G236*N236</f>
        <v>0.018161764705882353</v>
      </c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</row>
    <row r="237">
      <c r="A237" s="15" t="inlineStr">
        <is>
          <t>7月</t>
        </is>
      </c>
      <c r="B237" s="15" t="inlineStr">
        <is>
          <t>一、会展客户</t>
        </is>
      </c>
      <c r="C237" s="15" t="inlineStr">
        <is>
          <t>展览活动主（承）办</t>
        </is>
      </c>
      <c r="D237" s="15" t="inlineStr">
        <is>
          <t>展览主承办</t>
        </is>
      </c>
      <c r="E237" s="15" t="inlineStr">
        <is>
          <t>会展服务</t>
        </is>
      </c>
      <c r="F237" s="15" t="inlineStr">
        <is>
          <t>产品服务</t>
        </is>
      </c>
      <c r="G237" s="17" t="n">
        <v>9.92</v>
      </c>
      <c r="H237" s="17" t="n">
        <v>0.125</v>
      </c>
      <c r="I237" s="17" t="n">
        <v>0.06666666666666667</v>
      </c>
      <c r="J237" s="17" t="n">
        <v>1</v>
      </c>
      <c r="K237" s="17" t="n">
        <v>0.25</v>
      </c>
      <c r="L237" s="17">
        <f>PRODUCT(H237:K237)</f>
        <v>0.0020833333333333333</v>
      </c>
      <c r="M237" s="17">
        <f>G237*L237</f>
        <v>0.020666666666666667</v>
      </c>
      <c r="N237" s="17">
        <f>IF(K237=0,H237*I237,L237)</f>
        <v>0.0020833333333333333</v>
      </c>
      <c r="O237" s="17">
        <f>G237*N237</f>
        <v>0.020666666666666667</v>
      </c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</row>
    <row r="238">
      <c r="A238" s="15" t="inlineStr">
        <is>
          <t>7月</t>
        </is>
      </c>
      <c r="B238" s="15" t="inlineStr">
        <is>
          <t>一、会展客户</t>
        </is>
      </c>
      <c r="C238" s="15" t="inlineStr">
        <is>
          <t>展览活动主（承）办</t>
        </is>
      </c>
      <c r="D238" s="15" t="inlineStr">
        <is>
          <t>展览主承办</t>
        </is>
      </c>
      <c r="E238" s="15" t="inlineStr">
        <is>
          <t>硬件设施</t>
        </is>
      </c>
      <c r="F238" s="15" t="inlineStr">
        <is>
          <t>硬件设施</t>
        </is>
      </c>
      <c r="G238" s="17" t="n">
        <v>9.69</v>
      </c>
      <c r="H238" s="17" t="n">
        <v>0.125</v>
      </c>
      <c r="I238" s="17" t="n">
        <v>0.06666666666666667</v>
      </c>
      <c r="J238" s="17" t="n">
        <v>1</v>
      </c>
      <c r="K238" s="17" t="n">
        <v>0.25</v>
      </c>
      <c r="L238" s="17">
        <f>PRODUCT(H238:K238)</f>
        <v>0.0020833333333333333</v>
      </c>
      <c r="M238" s="17">
        <f>G238*L238</f>
        <v>0.020187499999999997</v>
      </c>
      <c r="N238" s="17">
        <f>IF(K238=0,H238*I238,L238)</f>
        <v>0.0020833333333333333</v>
      </c>
      <c r="O238" s="17">
        <f>G238*N238</f>
        <v>0.020187499999999997</v>
      </c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</row>
    <row r="239">
      <c r="A239" s="15" t="inlineStr">
        <is>
          <t>7月</t>
        </is>
      </c>
      <c r="B239" s="15" t="inlineStr">
        <is>
          <t>一、会展客户</t>
        </is>
      </c>
      <c r="C239" s="15" t="inlineStr">
        <is>
          <t>展览活动主（承）办</t>
        </is>
      </c>
      <c r="D239" s="15" t="inlineStr">
        <is>
          <t>展览主承办</t>
        </is>
      </c>
      <c r="E239" s="15" t="inlineStr">
        <is>
          <t>配套服务</t>
        </is>
      </c>
      <c r="F239" s="15" t="inlineStr">
        <is>
          <t>配套服务</t>
        </is>
      </c>
      <c r="G239" s="17" t="n">
        <v>10</v>
      </c>
      <c r="H239" s="17" t="n">
        <v>0.125</v>
      </c>
      <c r="I239" s="17" t="n">
        <v>0.06666666666666667</v>
      </c>
      <c r="J239" s="17" t="n">
        <v>1</v>
      </c>
      <c r="K239" s="17" t="n">
        <v>0.25</v>
      </c>
      <c r="L239" s="17">
        <f>PRODUCT(H239:K239)</f>
        <v>0.0020833333333333333</v>
      </c>
      <c r="M239" s="17">
        <f>G239*L239</f>
        <v>0.020833333333333332</v>
      </c>
      <c r="N239" s="17">
        <f>IF(K239=0,H239*I239,L239)</f>
        <v>0.0020833333333333333</v>
      </c>
      <c r="O239" s="17">
        <f>G239*N239</f>
        <v>0.020833333333333332</v>
      </c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</row>
    <row r="240">
      <c r="A240" s="15" t="inlineStr">
        <is>
          <t>7月</t>
        </is>
      </c>
      <c r="B240" s="15" t="inlineStr">
        <is>
          <t>一、会展客户</t>
        </is>
      </c>
      <c r="C240" s="15" t="inlineStr">
        <is>
          <t>展览活动主（承）办</t>
        </is>
      </c>
      <c r="D240" s="15" t="inlineStr">
        <is>
          <t>展览主承办</t>
        </is>
      </c>
      <c r="E240" s="15" t="inlineStr">
        <is>
          <t>智慧场馆</t>
        </is>
      </c>
      <c r="F240" s="15" t="inlineStr">
        <is>
          <t>智慧场馆/服务</t>
        </is>
      </c>
      <c r="G240" s="17" t="n">
        <v>10</v>
      </c>
      <c r="H240" s="17" t="n">
        <v>0.125</v>
      </c>
      <c r="I240" s="17" t="n">
        <v>0.06666666666666667</v>
      </c>
      <c r="J240" s="17" t="n">
        <v>1</v>
      </c>
      <c r="K240" s="17" t="n">
        <v>0.25</v>
      </c>
      <c r="L240" s="17">
        <f>PRODUCT(H240:K240)</f>
        <v>0.0020833333333333333</v>
      </c>
      <c r="M240" s="17">
        <f>G240*L240</f>
        <v>0.020833333333333332</v>
      </c>
      <c r="N240" s="17">
        <f>IF(K240=0,H240*I240,L240)</f>
        <v>0.0020833333333333333</v>
      </c>
      <c r="O240" s="17">
        <f>G240*N240</f>
        <v>0.020833333333333332</v>
      </c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</row>
    <row r="241">
      <c r="A241" s="15" t="inlineStr">
        <is>
          <t>7月</t>
        </is>
      </c>
      <c r="B241" s="15" t="inlineStr">
        <is>
          <t>一、会展客户</t>
        </is>
      </c>
      <c r="C241" s="15" t="inlineStr">
        <is>
          <t>展览活动主（承）办</t>
        </is>
      </c>
      <c r="D241" s="15" t="inlineStr">
        <is>
          <t>配套服务子项</t>
        </is>
      </c>
      <c r="E241" s="15" t="inlineStr">
        <is>
          <t>其中：餐饮服务</t>
        </is>
      </c>
      <c r="F241" s="15" t="inlineStr">
        <is>
          <t>餐饮服务</t>
        </is>
      </c>
      <c r="G241" s="17" t="n">
        <v>10</v>
      </c>
      <c r="H241" s="17" t="n">
        <v>0.125</v>
      </c>
      <c r="I241" s="17" t="n">
        <v>0.06666666666666667</v>
      </c>
      <c r="J241" s="17" t="n">
        <v>1</v>
      </c>
      <c r="K241" s="17" t="n">
        <v>0</v>
      </c>
      <c r="L241" s="17">
        <f>PRODUCT(H241:K241)</f>
        <v>0.0</v>
      </c>
      <c r="M241" s="17">
        <f>G241*L241</f>
        <v>0.0</v>
      </c>
      <c r="N241" s="17">
        <f>IF(K241=0,H241*I241,L241)</f>
        <v>0.008333333333333333</v>
      </c>
      <c r="O241" s="17">
        <f>G241*N241</f>
        <v>0.08333333333333333</v>
      </c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</row>
    <row r="242">
      <c r="A242" s="15" t="inlineStr">
        <is>
          <t>7月</t>
        </is>
      </c>
      <c r="B242" s="15" t="inlineStr">
        <is>
          <t>一、会展客户</t>
        </is>
      </c>
      <c r="C242" s="15" t="inlineStr">
        <is>
          <t>参展商</t>
        </is>
      </c>
      <c r="D242" s="15" t="inlineStr">
        <is>
          <t>参展商</t>
        </is>
      </c>
      <c r="E242" s="15" t="inlineStr">
        <is>
          <t>会场服务</t>
        </is>
      </c>
      <c r="F242" s="15" t="inlineStr">
        <is>
          <t>产品服务</t>
        </is>
      </c>
      <c r="G242" s="17" t="n">
        <v>9.94</v>
      </c>
      <c r="H242" s="17" t="n">
        <v>0.125</v>
      </c>
      <c r="I242" s="17" t="n">
        <v>0.06666666666666667</v>
      </c>
      <c r="J242" s="17" t="n">
        <v>1</v>
      </c>
      <c r="K242" s="17" t="n">
        <v>0.3333333333333333</v>
      </c>
      <c r="L242" s="17">
        <f>PRODUCT(H242:K242)</f>
        <v>0.0027777777777777775</v>
      </c>
      <c r="M242" s="17">
        <f>G242*L242</f>
        <v>0.027611111111111107</v>
      </c>
      <c r="N242" s="17">
        <f>IF(K242=0,H242*I242,L242)</f>
        <v>0.0027777777777777775</v>
      </c>
      <c r="O242" s="17">
        <f>G242*N242</f>
        <v>0.027611111111111107</v>
      </c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</row>
    <row r="243">
      <c r="A243" s="15" t="inlineStr">
        <is>
          <t>7月</t>
        </is>
      </c>
      <c r="B243" s="15" t="inlineStr">
        <is>
          <t>一、会展客户</t>
        </is>
      </c>
      <c r="C243" s="15" t="inlineStr">
        <is>
          <t>参展商</t>
        </is>
      </c>
      <c r="D243" s="15" t="inlineStr">
        <is>
          <t>参展商</t>
        </is>
      </c>
      <c r="E243" s="15" t="inlineStr">
        <is>
          <t>硬件设施</t>
        </is>
      </c>
      <c r="F243" s="15" t="inlineStr">
        <is>
          <t>硬件设施</t>
        </is>
      </c>
      <c r="G243" s="17" t="n">
        <v>9.31</v>
      </c>
      <c r="H243" s="17" t="n">
        <v>0.125</v>
      </c>
      <c r="I243" s="17" t="n">
        <v>0.06666666666666667</v>
      </c>
      <c r="J243" s="17" t="n">
        <v>1</v>
      </c>
      <c r="K243" s="17" t="n">
        <v>0.3333333333333333</v>
      </c>
      <c r="L243" s="17">
        <f>PRODUCT(H243:K243)</f>
        <v>0.0027777777777777775</v>
      </c>
      <c r="M243" s="17">
        <f>G243*L243</f>
        <v>0.02586111111111111</v>
      </c>
      <c r="N243" s="17">
        <f>IF(K243=0,H243*I243,L243)</f>
        <v>0.0027777777777777775</v>
      </c>
      <c r="O243" s="17">
        <f>G243*N243</f>
        <v>0.02586111111111111</v>
      </c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</row>
    <row r="244">
      <c r="A244" s="15" t="inlineStr">
        <is>
          <t>7月</t>
        </is>
      </c>
      <c r="B244" s="15" t="inlineStr">
        <is>
          <t>一、会展客户</t>
        </is>
      </c>
      <c r="C244" s="15" t="inlineStr">
        <is>
          <t>参展商</t>
        </is>
      </c>
      <c r="D244" s="15" t="inlineStr">
        <is>
          <t>参展商</t>
        </is>
      </c>
      <c r="E244" s="15" t="inlineStr">
        <is>
          <t>配套服务</t>
        </is>
      </c>
      <c r="F244" s="15" t="inlineStr">
        <is>
          <t>配套服务</t>
        </is>
      </c>
      <c r="G244" s="17" t="n">
        <v>9.93</v>
      </c>
      <c r="H244" s="17" t="n">
        <v>0.125</v>
      </c>
      <c r="I244" s="17" t="n">
        <v>0.06666666666666667</v>
      </c>
      <c r="J244" s="17" t="n">
        <v>1</v>
      </c>
      <c r="K244" s="17" t="n">
        <v>0.3333333333333333</v>
      </c>
      <c r="L244" s="17">
        <f>PRODUCT(H244:K244)</f>
        <v>0.0027777777777777775</v>
      </c>
      <c r="M244" s="17">
        <f>G244*L244</f>
        <v>0.027583333333333328</v>
      </c>
      <c r="N244" s="17">
        <f>IF(K244=0,H244*I244,L244)</f>
        <v>0.0027777777777777775</v>
      </c>
      <c r="O244" s="17">
        <f>G244*N244</f>
        <v>0.027583333333333328</v>
      </c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</row>
    <row r="245">
      <c r="A245" s="15" t="inlineStr">
        <is>
          <t>7月</t>
        </is>
      </c>
      <c r="B245" s="15" t="inlineStr">
        <is>
          <t>一、会展客户</t>
        </is>
      </c>
      <c r="C245" s="15" t="inlineStr">
        <is>
          <t>参展商</t>
        </is>
      </c>
      <c r="D245" s="15" t="inlineStr">
        <is>
          <t>配套服务子项</t>
        </is>
      </c>
      <c r="E245" s="15" t="inlineStr">
        <is>
          <t>其中：餐饮服务</t>
        </is>
      </c>
      <c r="F245" s="15" t="inlineStr">
        <is>
          <t>餐饮服务</t>
        </is>
      </c>
      <c r="G245" s="17" t="n">
        <v>9.73</v>
      </c>
      <c r="H245" s="17" t="n">
        <v>0.125</v>
      </c>
      <c r="I245" s="17" t="n">
        <v>0.06666666666666667</v>
      </c>
      <c r="J245" s="17" t="n">
        <v>1</v>
      </c>
      <c r="K245" s="17" t="n">
        <v>0</v>
      </c>
      <c r="L245" s="17">
        <f>PRODUCT(H245:K245)</f>
        <v>0.0</v>
      </c>
      <c r="M245" s="17">
        <f>G245*L245</f>
        <v>0.0</v>
      </c>
      <c r="N245" s="17">
        <f>IF(K245=0,H245*I245,L245)</f>
        <v>0.008333333333333333</v>
      </c>
      <c r="O245" s="17">
        <f>G245*N245</f>
        <v>0.08108333333333334</v>
      </c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</row>
    <row r="246">
      <c r="A246" s="15" t="inlineStr">
        <is>
          <t>7月</t>
        </is>
      </c>
      <c r="B246" s="15" t="inlineStr">
        <is>
          <t>一、会展客户</t>
        </is>
      </c>
      <c r="C246" s="15" t="inlineStr">
        <is>
          <t>专业观众</t>
        </is>
      </c>
      <c r="D246" s="15" t="inlineStr">
        <is>
          <t>专业观众</t>
        </is>
      </c>
      <c r="E246" s="15" t="inlineStr">
        <is>
          <t>会展服务</t>
        </is>
      </c>
      <c r="F246" s="15" t="inlineStr">
        <is>
          <t>产品服务</t>
        </is>
      </c>
      <c r="G246" s="17" t="n">
        <v>10</v>
      </c>
      <c r="H246" s="17" t="n">
        <v>0.125</v>
      </c>
      <c r="I246" s="17" t="n">
        <v>0.06666666666666667</v>
      </c>
      <c r="J246" s="17" t="n">
        <v>1</v>
      </c>
      <c r="K246" s="17" t="n">
        <v>0.3333333333333333</v>
      </c>
      <c r="L246" s="17">
        <f>PRODUCT(H246:K246)</f>
        <v>0.0027777777777777775</v>
      </c>
      <c r="M246" s="17">
        <f>G246*L246</f>
        <v>0.027777777777777776</v>
      </c>
      <c r="N246" s="17">
        <f>IF(K246=0,H246*I246,L246)</f>
        <v>0.0027777777777777775</v>
      </c>
      <c r="O246" s="17">
        <f>G246*N246</f>
        <v>0.027777777777777776</v>
      </c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</row>
    <row r="247">
      <c r="A247" s="15" t="inlineStr">
        <is>
          <t>7月</t>
        </is>
      </c>
      <c r="B247" s="15" t="inlineStr">
        <is>
          <t>一、会展客户</t>
        </is>
      </c>
      <c r="C247" s="15" t="inlineStr">
        <is>
          <t>专业观众</t>
        </is>
      </c>
      <c r="D247" s="15" t="inlineStr">
        <is>
          <t>专业观众</t>
        </is>
      </c>
      <c r="E247" s="15" t="inlineStr">
        <is>
          <t>硬件设施</t>
        </is>
      </c>
      <c r="F247" s="15" t="inlineStr">
        <is>
          <t>硬件设施</t>
        </is>
      </c>
      <c r="G247" s="17" t="n">
        <v>9.57</v>
      </c>
      <c r="H247" s="17" t="n">
        <v>0.125</v>
      </c>
      <c r="I247" s="17" t="n">
        <v>0.06666666666666667</v>
      </c>
      <c r="J247" s="17" t="n">
        <v>1</v>
      </c>
      <c r="K247" s="17" t="n">
        <v>0.3333333333333333</v>
      </c>
      <c r="L247" s="17">
        <f>PRODUCT(H247:K247)</f>
        <v>0.0027777777777777775</v>
      </c>
      <c r="M247" s="17">
        <f>G247*L247</f>
        <v>0.02658333333333333</v>
      </c>
      <c r="N247" s="17">
        <f>IF(K247=0,H247*I247,L247)</f>
        <v>0.0027777777777777775</v>
      </c>
      <c r="O247" s="17">
        <f>G247*N247</f>
        <v>0.02658333333333333</v>
      </c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</row>
    <row r="248">
      <c r="A248" s="15" t="inlineStr">
        <is>
          <t>7月</t>
        </is>
      </c>
      <c r="B248" s="15" t="inlineStr">
        <is>
          <t>一、会展客户</t>
        </is>
      </c>
      <c r="C248" s="15" t="inlineStr">
        <is>
          <t>专业观众</t>
        </is>
      </c>
      <c r="D248" s="15" t="inlineStr">
        <is>
          <t>专业观众</t>
        </is>
      </c>
      <c r="E248" s="15" t="inlineStr">
        <is>
          <t>配套服务</t>
        </is>
      </c>
      <c r="F248" s="15" t="inlineStr">
        <is>
          <t>配套服务</t>
        </is>
      </c>
      <c r="G248" s="17" t="n">
        <v>9.93</v>
      </c>
      <c r="H248" s="17" t="n">
        <v>0.125</v>
      </c>
      <c r="I248" s="17" t="n">
        <v>0.06666666666666667</v>
      </c>
      <c r="J248" s="17" t="n">
        <v>1</v>
      </c>
      <c r="K248" s="17" t="n">
        <v>0.3333333333333333</v>
      </c>
      <c r="L248" s="17">
        <f>PRODUCT(H248:K248)</f>
        <v>0.0027777777777777775</v>
      </c>
      <c r="M248" s="17">
        <f>G248*L248</f>
        <v>0.027583333333333328</v>
      </c>
      <c r="N248" s="17">
        <f>IF(K248=0,H248*I248,L248)</f>
        <v>0.0027777777777777775</v>
      </c>
      <c r="O248" s="17">
        <f>G248*N248</f>
        <v>0.027583333333333328</v>
      </c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</row>
    <row r="249">
      <c r="A249" s="15" t="inlineStr">
        <is>
          <t>7月</t>
        </is>
      </c>
      <c r="B249" s="15" t="inlineStr">
        <is>
          <t>一、会展客户</t>
        </is>
      </c>
      <c r="C249" s="15" t="inlineStr">
        <is>
          <t>专业观众</t>
        </is>
      </c>
      <c r="D249" s="15" t="inlineStr">
        <is>
          <t>配套服务子项</t>
        </is>
      </c>
      <c r="E249" s="15" t="inlineStr">
        <is>
          <t>其中：餐饮服务</t>
        </is>
      </c>
      <c r="F249" s="15" t="inlineStr">
        <is>
          <t>餐饮服务</t>
        </is>
      </c>
      <c r="G249" s="17" t="n">
        <v>9.699999999999999</v>
      </c>
      <c r="H249" s="17" t="n">
        <v>0.125</v>
      </c>
      <c r="I249" s="17" t="n">
        <v>0.06666666666666667</v>
      </c>
      <c r="J249" s="17" t="n">
        <v>1</v>
      </c>
      <c r="K249" s="17" t="n">
        <v>0</v>
      </c>
      <c r="L249" s="17">
        <f>PRODUCT(H249:K249)</f>
        <v>0.0</v>
      </c>
      <c r="M249" s="17">
        <f>G249*L249</f>
        <v>0.0</v>
      </c>
      <c r="N249" s="17">
        <f>IF(K249=0,H249*I249,L249)</f>
        <v>0.008333333333333333</v>
      </c>
      <c r="O249" s="17">
        <f>G249*N249</f>
        <v>0.08083333333333333</v>
      </c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</row>
    <row r="250">
      <c r="A250" s="15" t="inlineStr">
        <is>
          <t>7月</t>
        </is>
      </c>
      <c r="B250" s="15" t="inlineStr">
        <is>
          <t>一、会展客户</t>
        </is>
      </c>
      <c r="C250" s="15" t="inlineStr">
        <is>
          <t>会展服务商</t>
        </is>
      </c>
      <c r="D250" s="15" t="inlineStr">
        <is>
          <t>会展服务商</t>
        </is>
      </c>
      <c r="E250" s="15" t="inlineStr">
        <is>
          <t>会展服务</t>
        </is>
      </c>
      <c r="F250" s="15" t="inlineStr">
        <is>
          <t>产品服务</t>
        </is>
      </c>
      <c r="G250" s="17" t="n">
        <v>10</v>
      </c>
      <c r="H250" s="17" t="n">
        <v>0.125</v>
      </c>
      <c r="I250" s="17" t="n">
        <v>0.06666666666666667</v>
      </c>
      <c r="J250" s="17" t="n">
        <v>1</v>
      </c>
      <c r="K250" s="17" t="n">
        <v>0.3333333333333333</v>
      </c>
      <c r="L250" s="17">
        <f>PRODUCT(H250:K250)</f>
        <v>0.0027777777777777775</v>
      </c>
      <c r="M250" s="17">
        <f>G250*L250</f>
        <v>0.027777777777777776</v>
      </c>
      <c r="N250" s="17">
        <f>IF(K250=0,H250*I250,L250)</f>
        <v>0.0027777777777777775</v>
      </c>
      <c r="O250" s="17">
        <f>G250*N250</f>
        <v>0.027777777777777776</v>
      </c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</row>
    <row r="251">
      <c r="A251" s="15" t="inlineStr">
        <is>
          <t>7月</t>
        </is>
      </c>
      <c r="B251" s="15" t="inlineStr">
        <is>
          <t>一、会展客户</t>
        </is>
      </c>
      <c r="C251" s="15" t="inlineStr">
        <is>
          <t>会展服务商</t>
        </is>
      </c>
      <c r="D251" s="15" t="inlineStr">
        <is>
          <t>会展服务商</t>
        </is>
      </c>
      <c r="E251" s="15" t="inlineStr">
        <is>
          <t>硬件设施</t>
        </is>
      </c>
      <c r="F251" s="15" t="inlineStr">
        <is>
          <t>硬件设施</t>
        </is>
      </c>
      <c r="G251" s="17" t="n">
        <v>9.81</v>
      </c>
      <c r="H251" s="17" t="n">
        <v>0.125</v>
      </c>
      <c r="I251" s="17" t="n">
        <v>0.06666666666666667</v>
      </c>
      <c r="J251" s="17" t="n">
        <v>1</v>
      </c>
      <c r="K251" s="17" t="n">
        <v>0.3333333333333333</v>
      </c>
      <c r="L251" s="17">
        <f>PRODUCT(H251:K251)</f>
        <v>0.0027777777777777775</v>
      </c>
      <c r="M251" s="17">
        <f>G251*L251</f>
        <v>0.027249999999999996</v>
      </c>
      <c r="N251" s="17">
        <f>IF(K251=0,H251*I251,L251)</f>
        <v>0.0027777777777777775</v>
      </c>
      <c r="O251" s="17">
        <f>G251*N251</f>
        <v>0.027249999999999996</v>
      </c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</row>
    <row r="252">
      <c r="A252" s="15" t="inlineStr">
        <is>
          <t>7月</t>
        </is>
      </c>
      <c r="B252" s="15" t="inlineStr">
        <is>
          <t>一、会展客户</t>
        </is>
      </c>
      <c r="C252" s="15" t="inlineStr">
        <is>
          <t>会展服务商</t>
        </is>
      </c>
      <c r="D252" s="15" t="inlineStr">
        <is>
          <t>会展服务商</t>
        </is>
      </c>
      <c r="E252" s="15" t="inlineStr">
        <is>
          <t>配套服务</t>
        </is>
      </c>
      <c r="F252" s="15" t="inlineStr">
        <is>
          <t>配套服务</t>
        </is>
      </c>
      <c r="G252" s="17" t="n">
        <v>10</v>
      </c>
      <c r="H252" s="17" t="n">
        <v>0.125</v>
      </c>
      <c r="I252" s="17" t="n">
        <v>0.06666666666666667</v>
      </c>
      <c r="J252" s="17" t="n">
        <v>1</v>
      </c>
      <c r="K252" s="17" t="n">
        <v>0.3333333333333333</v>
      </c>
      <c r="L252" s="17">
        <f>PRODUCT(H252:K252)</f>
        <v>0.0027777777777777775</v>
      </c>
      <c r="M252" s="17">
        <f>G252*L252</f>
        <v>0.027777777777777776</v>
      </c>
      <c r="N252" s="17">
        <f>IF(K252=0,H252*I252,L252)</f>
        <v>0.0027777777777777775</v>
      </c>
      <c r="O252" s="17">
        <f>G252*N252</f>
        <v>0.027777777777777776</v>
      </c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</row>
    <row r="253">
      <c r="A253" s="15" t="inlineStr">
        <is>
          <t>7月</t>
        </is>
      </c>
      <c r="B253" s="15" t="inlineStr">
        <is>
          <t>一、会展客户</t>
        </is>
      </c>
      <c r="C253" s="15" t="inlineStr">
        <is>
          <t>会展服务商</t>
        </is>
      </c>
      <c r="D253" s="15" t="inlineStr">
        <is>
          <t>配套服务子项</t>
        </is>
      </c>
      <c r="E253" s="15" t="inlineStr">
        <is>
          <t>其中：餐饮服务</t>
        </is>
      </c>
      <c r="F253" s="15" t="inlineStr">
        <is>
          <t>餐饮服务</t>
        </is>
      </c>
      <c r="G253" s="17" t="n">
        <v>10</v>
      </c>
      <c r="H253" s="17" t="n">
        <v>0.125</v>
      </c>
      <c r="I253" s="17" t="n">
        <v>0.06666666666666667</v>
      </c>
      <c r="J253" s="17" t="n">
        <v>1</v>
      </c>
      <c r="K253" s="17" t="n">
        <v>0</v>
      </c>
      <c r="L253" s="17">
        <f>PRODUCT(H253:K253)</f>
        <v>0.0</v>
      </c>
      <c r="M253" s="17">
        <f>G253*L253</f>
        <v>0.0</v>
      </c>
      <c r="N253" s="17">
        <f>IF(K253=0,H253*I253,L253)</f>
        <v>0.008333333333333333</v>
      </c>
      <c r="O253" s="17">
        <f>G253*N253</f>
        <v>0.08333333333333333</v>
      </c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</row>
    <row r="254">
      <c r="A254" s="15" t="inlineStr">
        <is>
          <t>7月</t>
        </is>
      </c>
      <c r="B254" s="15" t="inlineStr">
        <is>
          <t>一、会展客户</t>
        </is>
      </c>
      <c r="C254" s="15" t="inlineStr">
        <is>
          <t>会议活动主（承）办</t>
        </is>
      </c>
      <c r="D254" s="15" t="inlineStr">
        <is>
          <t>会议主承办</t>
        </is>
      </c>
      <c r="E254" s="15" t="inlineStr">
        <is>
          <t>会展服务</t>
        </is>
      </c>
      <c r="F254" s="15" t="inlineStr">
        <is>
          <t>产品服务</t>
        </is>
      </c>
      <c r="G254" s="17" t="n">
        <v>9.960000000000001</v>
      </c>
      <c r="H254" s="17" t="n">
        <v>0.125</v>
      </c>
      <c r="I254" s="17" t="n">
        <v>0.06666666666666667</v>
      </c>
      <c r="J254" s="17" t="n">
        <v>1</v>
      </c>
      <c r="K254" s="17" t="n">
        <v>0.3333333333333333</v>
      </c>
      <c r="L254" s="17">
        <f>PRODUCT(H254:K254)</f>
        <v>0.0027777777777777775</v>
      </c>
      <c r="M254" s="17">
        <f>G254*L254</f>
        <v>0.027666666666666666</v>
      </c>
      <c r="N254" s="17">
        <f>IF(K254=0,H254*I254,L254)</f>
        <v>0.0027777777777777775</v>
      </c>
      <c r="O254" s="17">
        <f>G254*N254</f>
        <v>0.027666666666666666</v>
      </c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</row>
    <row r="255">
      <c r="A255" s="15" t="inlineStr">
        <is>
          <t>7月</t>
        </is>
      </c>
      <c r="B255" s="15" t="inlineStr">
        <is>
          <t>一、会展客户</t>
        </is>
      </c>
      <c r="C255" s="15" t="inlineStr">
        <is>
          <t>会议活动主（承）办</t>
        </is>
      </c>
      <c r="D255" s="15" t="inlineStr">
        <is>
          <t>会议主承办</t>
        </is>
      </c>
      <c r="E255" s="15" t="inlineStr">
        <is>
          <t>硬件设施</t>
        </is>
      </c>
      <c r="F255" s="15" t="inlineStr">
        <is>
          <t>硬件设施</t>
        </is>
      </c>
      <c r="G255" s="17" t="n">
        <v>9.880000000000001</v>
      </c>
      <c r="H255" s="17" t="n">
        <v>0.125</v>
      </c>
      <c r="I255" s="17" t="n">
        <v>0.06666666666666667</v>
      </c>
      <c r="J255" s="17" t="n">
        <v>1</v>
      </c>
      <c r="K255" s="17" t="n">
        <v>0.3333333333333333</v>
      </c>
      <c r="L255" s="17">
        <f>PRODUCT(H255:K255)</f>
        <v>0.0027777777777777775</v>
      </c>
      <c r="M255" s="17">
        <f>G255*L255</f>
        <v>0.027444444444444445</v>
      </c>
      <c r="N255" s="17">
        <f>IF(K255=0,H255*I255,L255)</f>
        <v>0.0027777777777777775</v>
      </c>
      <c r="O255" s="17">
        <f>G255*N255</f>
        <v>0.027444444444444445</v>
      </c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</row>
    <row r="256">
      <c r="A256" s="15" t="inlineStr">
        <is>
          <t>7月</t>
        </is>
      </c>
      <c r="B256" s="15" t="inlineStr">
        <is>
          <t>一、会展客户</t>
        </is>
      </c>
      <c r="C256" s="15" t="inlineStr">
        <is>
          <t>会议活动主（承）办</t>
        </is>
      </c>
      <c r="D256" s="15" t="inlineStr">
        <is>
          <t>会议主承办</t>
        </is>
      </c>
      <c r="E256" s="15" t="inlineStr">
        <is>
          <t>配套服务</t>
        </is>
      </c>
      <c r="F256" s="15" t="inlineStr">
        <is>
          <t>配套服务</t>
        </is>
      </c>
      <c r="G256" s="17" t="n">
        <v>9.92</v>
      </c>
      <c r="H256" s="17" t="n">
        <v>0.125</v>
      </c>
      <c r="I256" s="17" t="n">
        <v>0.06666666666666667</v>
      </c>
      <c r="J256" s="17" t="n">
        <v>1</v>
      </c>
      <c r="K256" s="17" t="n">
        <v>0.3333333333333333</v>
      </c>
      <c r="L256" s="17">
        <f>PRODUCT(H256:K256)</f>
        <v>0.0027777777777777775</v>
      </c>
      <c r="M256" s="17">
        <f>G256*L256</f>
        <v>0.027555555555555552</v>
      </c>
      <c r="N256" s="17">
        <f>IF(K256=0,H256*I256,L256)</f>
        <v>0.0027777777777777775</v>
      </c>
      <c r="O256" s="17">
        <f>G256*N256</f>
        <v>0.027555555555555552</v>
      </c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</row>
    <row r="257">
      <c r="A257" s="15" t="inlineStr">
        <is>
          <t>7月</t>
        </is>
      </c>
      <c r="B257" s="15" t="inlineStr">
        <is>
          <t>一、会展客户</t>
        </is>
      </c>
      <c r="C257" s="15" t="inlineStr">
        <is>
          <t>会议活动主（承）办</t>
        </is>
      </c>
      <c r="D257" s="15" t="inlineStr">
        <is>
          <t>配套服务子项</t>
        </is>
      </c>
      <c r="E257" s="15" t="inlineStr">
        <is>
          <t>其中：餐饮服务</t>
        </is>
      </c>
      <c r="F257" s="15" t="inlineStr">
        <is>
          <t>餐饮服务</t>
        </is>
      </c>
      <c r="G257" s="17" t="n">
        <v>9.67</v>
      </c>
      <c r="H257" s="17" t="n">
        <v>0.125</v>
      </c>
      <c r="I257" s="17" t="n">
        <v>0.06666666666666667</v>
      </c>
      <c r="J257" s="17" t="n">
        <v>1</v>
      </c>
      <c r="K257" s="17" t="n">
        <v>0</v>
      </c>
      <c r="L257" s="17">
        <f>PRODUCT(H257:K257)</f>
        <v>0.0</v>
      </c>
      <c r="M257" s="17">
        <f>G257*L257</f>
        <v>0.0</v>
      </c>
      <c r="N257" s="17">
        <f>IF(K257=0,H257*I257,L257)</f>
        <v>0.008333333333333333</v>
      </c>
      <c r="O257" s="17">
        <f>G257*N257</f>
        <v>0.08058333333333333</v>
      </c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</row>
    <row r="258">
      <c r="A258" s="15" t="inlineStr">
        <is>
          <t>7月</t>
        </is>
      </c>
      <c r="B258" s="15" t="inlineStr">
        <is>
          <t>一、会展客户</t>
        </is>
      </c>
      <c r="C258" s="15" t="inlineStr">
        <is>
          <t>参会客户</t>
        </is>
      </c>
      <c r="D258" s="15" t="inlineStr">
        <is>
          <t>参会人员</t>
        </is>
      </c>
      <c r="E258" s="15" t="inlineStr">
        <is>
          <t>会展服务</t>
        </is>
      </c>
      <c r="F258" s="15" t="inlineStr">
        <is>
          <t>产品服务</t>
        </is>
      </c>
      <c r="G258" s="17" t="n">
        <v>10</v>
      </c>
      <c r="H258" s="17" t="n">
        <v>0.125</v>
      </c>
      <c r="I258" s="17" t="n">
        <v>0.06666666666666667</v>
      </c>
      <c r="J258" s="17" t="n">
        <v>1</v>
      </c>
      <c r="K258" s="17" t="n">
        <v>0.3333333333333333</v>
      </c>
      <c r="L258" s="17">
        <f>PRODUCT(H258:K258)</f>
        <v>0.0027777777777777775</v>
      </c>
      <c r="M258" s="17">
        <f>G258*L258</f>
        <v>0.027777777777777776</v>
      </c>
      <c r="N258" s="17">
        <f>IF(K258=0,H258*I258,L258)</f>
        <v>0.0027777777777777775</v>
      </c>
      <c r="O258" s="17">
        <f>G258*N258</f>
        <v>0.027777777777777776</v>
      </c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</row>
    <row r="259">
      <c r="A259" s="15" t="inlineStr">
        <is>
          <t>7月</t>
        </is>
      </c>
      <c r="B259" s="15" t="inlineStr">
        <is>
          <t>一、会展客户</t>
        </is>
      </c>
      <c r="C259" s="15" t="inlineStr">
        <is>
          <t>参会客户</t>
        </is>
      </c>
      <c r="D259" s="15" t="inlineStr">
        <is>
          <t>参会人员</t>
        </is>
      </c>
      <c r="E259" s="15" t="inlineStr">
        <is>
          <t>硬件设施</t>
        </is>
      </c>
      <c r="F259" s="15" t="inlineStr">
        <is>
          <t>硬件设施</t>
        </is>
      </c>
      <c r="G259" s="17" t="n">
        <v>9.57</v>
      </c>
      <c r="H259" s="17" t="n">
        <v>0.125</v>
      </c>
      <c r="I259" s="17" t="n">
        <v>0.06666666666666667</v>
      </c>
      <c r="J259" s="17" t="n">
        <v>1</v>
      </c>
      <c r="K259" s="17" t="n">
        <v>0.3333333333333333</v>
      </c>
      <c r="L259" s="17">
        <f>PRODUCT(H259:K259)</f>
        <v>0.0027777777777777775</v>
      </c>
      <c r="M259" s="17">
        <f>G259*L259</f>
        <v>0.02658333333333333</v>
      </c>
      <c r="N259" s="17">
        <f>IF(K259=0,H259*I259,L259)</f>
        <v>0.0027777777777777775</v>
      </c>
      <c r="O259" s="17">
        <f>G259*N259</f>
        <v>0.02658333333333333</v>
      </c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</row>
    <row r="260">
      <c r="A260" s="15" t="inlineStr">
        <is>
          <t>7月</t>
        </is>
      </c>
      <c r="B260" s="15" t="inlineStr">
        <is>
          <t>一、会展客户</t>
        </is>
      </c>
      <c r="C260" s="15" t="inlineStr">
        <is>
          <t>参会客户</t>
        </is>
      </c>
      <c r="D260" s="15" t="inlineStr">
        <is>
          <t>参会人员</t>
        </is>
      </c>
      <c r="E260" s="15" t="inlineStr">
        <is>
          <t>配套服务</t>
        </is>
      </c>
      <c r="F260" s="15" t="inlineStr">
        <is>
          <t>配套服务</t>
        </is>
      </c>
      <c r="G260" s="17" t="n">
        <v>9.92</v>
      </c>
      <c r="H260" s="17" t="n">
        <v>0.125</v>
      </c>
      <c r="I260" s="17" t="n">
        <v>0.06666666666666667</v>
      </c>
      <c r="J260" s="17" t="n">
        <v>1</v>
      </c>
      <c r="K260" s="17" t="n">
        <v>0.3333333333333333</v>
      </c>
      <c r="L260" s="17">
        <f>PRODUCT(H260:K260)</f>
        <v>0.0027777777777777775</v>
      </c>
      <c r="M260" s="17">
        <f>G260*L260</f>
        <v>0.027555555555555552</v>
      </c>
      <c r="N260" s="17">
        <f>IF(K260=0,H260*I260,L260)</f>
        <v>0.0027777777777777775</v>
      </c>
      <c r="O260" s="17">
        <f>G260*N260</f>
        <v>0.027555555555555552</v>
      </c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</row>
    <row r="261">
      <c r="A261" s="15" t="inlineStr">
        <is>
          <t>7月</t>
        </is>
      </c>
      <c r="B261" s="15" t="inlineStr">
        <is>
          <t>一、会展客户</t>
        </is>
      </c>
      <c r="C261" s="15" t="inlineStr">
        <is>
          <t>参会客户</t>
        </is>
      </c>
      <c r="D261" s="15" t="inlineStr">
        <is>
          <t>配套服务子项</t>
        </is>
      </c>
      <c r="E261" s="15" t="inlineStr">
        <is>
          <t>其中：餐饮服务</t>
        </is>
      </c>
      <c r="F261" s="15" t="inlineStr">
        <is>
          <t>餐饮服务</t>
        </is>
      </c>
      <c r="G261" s="17" t="n">
        <v>10</v>
      </c>
      <c r="H261" s="17" t="n">
        <v>0.125</v>
      </c>
      <c r="I261" s="17" t="n">
        <v>0.06666666666666667</v>
      </c>
      <c r="J261" s="17" t="n">
        <v>1</v>
      </c>
      <c r="K261" s="17" t="n">
        <v>0</v>
      </c>
      <c r="L261" s="17">
        <f>PRODUCT(H261:K261)</f>
        <v>0.0</v>
      </c>
      <c r="M261" s="17">
        <f>G261*L261</f>
        <v>0.0</v>
      </c>
      <c r="N261" s="17">
        <f>IF(K261=0,H261*I261,L261)</f>
        <v>0.008333333333333333</v>
      </c>
      <c r="O261" s="17">
        <f>G261*N261</f>
        <v>0.08333333333333333</v>
      </c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</row>
    <row r="262">
      <c r="A262" s="15" t="inlineStr">
        <is>
          <t>7月</t>
        </is>
      </c>
      <c r="B262" s="15" t="inlineStr">
        <is>
          <t>二、餐饮客户</t>
        </is>
      </c>
      <c r="C262" s="15" t="inlineStr">
        <is>
          <t>商务简餐</t>
        </is>
      </c>
      <c r="D262" s="15" t="inlineStr">
        <is>
          <t>商务简餐</t>
        </is>
      </c>
      <c r="E262" s="15" t="inlineStr">
        <is>
          <t>餐饮服务</t>
        </is>
      </c>
      <c r="F262" s="15" t="inlineStr">
        <is>
          <t>餐饮服务</t>
        </is>
      </c>
      <c r="G262" s="17" t="n">
        <v>9.19</v>
      </c>
      <c r="H262" s="17" t="n">
        <v>0.125</v>
      </c>
      <c r="I262" s="17" t="n">
        <v>0.06666666666666667</v>
      </c>
      <c r="J262" s="17" t="n">
        <v>1</v>
      </c>
      <c r="K262" s="17" t="n">
        <v>0.3333333333333333</v>
      </c>
      <c r="L262" s="17">
        <f>PRODUCT(H262:K262)</f>
        <v>0.0027777777777777775</v>
      </c>
      <c r="M262" s="17">
        <f>G262*L262</f>
        <v>0.025527777777777774</v>
      </c>
      <c r="N262" s="17">
        <f>IF(K262=0,H262*I262,L262)</f>
        <v>0.0027777777777777775</v>
      </c>
      <c r="O262" s="17">
        <f>G262*N262</f>
        <v>0.025527777777777774</v>
      </c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</row>
    <row r="263">
      <c r="A263" s="15" t="inlineStr">
        <is>
          <t>7月</t>
        </is>
      </c>
      <c r="B263" s="15" t="inlineStr">
        <is>
          <t>二、餐饮客户</t>
        </is>
      </c>
      <c r="C263" s="15" t="inlineStr">
        <is>
          <t>商务简餐</t>
        </is>
      </c>
      <c r="D263" s="15" t="inlineStr">
        <is>
          <t>商务简餐</t>
        </is>
      </c>
      <c r="E263" s="15" t="inlineStr">
        <is>
          <t>硬件设施</t>
        </is>
      </c>
      <c r="F263" s="15" t="inlineStr">
        <is>
          <t>硬件设施</t>
        </is>
      </c>
      <c r="G263" s="17" t="n">
        <v>8.539999999999999</v>
      </c>
      <c r="H263" s="17" t="n">
        <v>0.125</v>
      </c>
      <c r="I263" s="17" t="n">
        <v>0.06666666666666667</v>
      </c>
      <c r="J263" s="17" t="n">
        <v>1</v>
      </c>
      <c r="K263" s="17" t="n">
        <v>0.3333333333333333</v>
      </c>
      <c r="L263" s="17">
        <f>PRODUCT(H263:K263)</f>
        <v>0.0027777777777777775</v>
      </c>
      <c r="M263" s="17">
        <f>G263*L263</f>
        <v>0.023722222222222217</v>
      </c>
      <c r="N263" s="17">
        <f>IF(K263=0,H263*I263,L263)</f>
        <v>0.0027777777777777775</v>
      </c>
      <c r="O263" s="17">
        <f>G263*N263</f>
        <v>0.023722222222222217</v>
      </c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</row>
    <row r="264">
      <c r="A264" s="15" t="inlineStr">
        <is>
          <t>7月</t>
        </is>
      </c>
      <c r="B264" s="15" t="inlineStr">
        <is>
          <t>二、餐饮客户</t>
        </is>
      </c>
      <c r="C264" s="15" t="inlineStr">
        <is>
          <t>商务简餐</t>
        </is>
      </c>
      <c r="D264" s="15" t="inlineStr">
        <is>
          <t>商务简餐</t>
        </is>
      </c>
      <c r="E264" s="15" t="inlineStr">
        <is>
          <t>智慧场馆</t>
        </is>
      </c>
      <c r="F264" s="15" t="inlineStr">
        <is>
          <t>智慧场馆/服务</t>
        </is>
      </c>
      <c r="G264" s="17" t="n">
        <v>9.630000000000001</v>
      </c>
      <c r="H264" s="17" t="n">
        <v>0.125</v>
      </c>
      <c r="I264" s="17" t="n">
        <v>0.06666666666666667</v>
      </c>
      <c r="J264" s="17" t="n">
        <v>1</v>
      </c>
      <c r="K264" s="17" t="n">
        <v>0.3333333333333333</v>
      </c>
      <c r="L264" s="17">
        <f>PRODUCT(H264:K264)</f>
        <v>0.0027777777777777775</v>
      </c>
      <c r="M264" s="17">
        <f>G264*L264</f>
        <v>0.02675</v>
      </c>
      <c r="N264" s="17">
        <f>IF(K264=0,H264*I264,L264)</f>
        <v>0.0027777777777777775</v>
      </c>
      <c r="O264" s="17">
        <f>G264*N264</f>
        <v>0.02675</v>
      </c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</row>
    <row r="265">
      <c r="A265" s="15" t="inlineStr">
        <is>
          <t>7月</t>
        </is>
      </c>
      <c r="B265" s="15" t="inlineStr">
        <is>
          <t>二、餐饮客户</t>
        </is>
      </c>
      <c r="C265" s="15" t="inlineStr">
        <is>
          <t>特色美食廊</t>
        </is>
      </c>
      <c r="D265" s="15" t="inlineStr">
        <is>
          <t>特色美食廊</t>
        </is>
      </c>
      <c r="E265" s="15" t="inlineStr">
        <is>
          <t>餐饮服务</t>
        </is>
      </c>
      <c r="F265" s="15" t="inlineStr">
        <is>
          <t>餐饮服务</t>
        </is>
      </c>
      <c r="G265" s="17" t="n">
        <v>8.73</v>
      </c>
      <c r="H265" s="17" t="n">
        <v>0.125</v>
      </c>
      <c r="I265" s="17" t="n">
        <v>0.06666666666666667</v>
      </c>
      <c r="J265" s="17" t="n">
        <v>1</v>
      </c>
      <c r="K265" s="17" t="n">
        <v>0.3333333333333333</v>
      </c>
      <c r="L265" s="17">
        <f>PRODUCT(H265:K265)</f>
        <v>0.0027777777777777775</v>
      </c>
      <c r="M265" s="17">
        <f>G265*L265</f>
        <v>0.024249999999999997</v>
      </c>
      <c r="N265" s="17">
        <f>IF(K265=0,H265*I265,L265)</f>
        <v>0.0027777777777777775</v>
      </c>
      <c r="O265" s="17">
        <f>G265*N265</f>
        <v>0.024249999999999997</v>
      </c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</row>
    <row r="266">
      <c r="A266" s="15" t="inlineStr">
        <is>
          <t>7月</t>
        </is>
      </c>
      <c r="B266" s="15" t="inlineStr">
        <is>
          <t>二、餐饮客户</t>
        </is>
      </c>
      <c r="C266" s="15" t="inlineStr">
        <is>
          <t>特色美食廊</t>
        </is>
      </c>
      <c r="D266" s="15" t="inlineStr">
        <is>
          <t>特色美食廊</t>
        </is>
      </c>
      <c r="E266" s="15" t="inlineStr">
        <is>
          <t>硬件设施</t>
        </is>
      </c>
      <c r="F266" s="15" t="inlineStr">
        <is>
          <t>硬件设施</t>
        </is>
      </c>
      <c r="G266" s="17" t="n">
        <v>8.9</v>
      </c>
      <c r="H266" s="17" t="n">
        <v>0.125</v>
      </c>
      <c r="I266" s="17" t="n">
        <v>0.06666666666666667</v>
      </c>
      <c r="J266" s="17" t="n">
        <v>1</v>
      </c>
      <c r="K266" s="17" t="n">
        <v>0.3333333333333333</v>
      </c>
      <c r="L266" s="17">
        <f>PRODUCT(H266:K266)</f>
        <v>0.0027777777777777775</v>
      </c>
      <c r="M266" s="17">
        <f>G266*L266</f>
        <v>0.024722222222222222</v>
      </c>
      <c r="N266" s="17">
        <f>IF(K266=0,H266*I266,L266)</f>
        <v>0.0027777777777777775</v>
      </c>
      <c r="O266" s="17">
        <f>G266*N266</f>
        <v>0.024722222222222222</v>
      </c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</row>
    <row r="267">
      <c r="A267" s="15" t="inlineStr">
        <is>
          <t>7月</t>
        </is>
      </c>
      <c r="B267" s="15" t="inlineStr">
        <is>
          <t>二、餐饮客户</t>
        </is>
      </c>
      <c r="C267" s="15" t="inlineStr">
        <is>
          <t>特色美食廊</t>
        </is>
      </c>
      <c r="D267" s="15" t="inlineStr">
        <is>
          <t>特色美食廊</t>
        </is>
      </c>
      <c r="E267" s="15" t="inlineStr">
        <is>
          <t>智慧场馆</t>
        </is>
      </c>
      <c r="F267" s="15" t="inlineStr">
        <is>
          <t>智慧场馆/服务</t>
        </is>
      </c>
      <c r="G267" s="17" t="n">
        <v>10</v>
      </c>
      <c r="H267" s="17" t="n">
        <v>0.125</v>
      </c>
      <c r="I267" s="17" t="n">
        <v>0.06666666666666667</v>
      </c>
      <c r="J267" s="17" t="n">
        <v>1</v>
      </c>
      <c r="K267" s="17" t="n">
        <v>0.3333333333333333</v>
      </c>
      <c r="L267" s="17">
        <f>PRODUCT(H267:K267)</f>
        <v>0.0027777777777777775</v>
      </c>
      <c r="M267" s="17">
        <f>G267*L267</f>
        <v>0.027777777777777776</v>
      </c>
      <c r="N267" s="17">
        <f>IF(K267=0,H267*I267,L267)</f>
        <v>0.0027777777777777775</v>
      </c>
      <c r="O267" s="17">
        <f>G267*N267</f>
        <v>0.027777777777777776</v>
      </c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</row>
    <row r="268">
      <c r="A268" s="15" t="inlineStr">
        <is>
          <t>7月</t>
        </is>
      </c>
      <c r="B268" s="15" t="inlineStr">
        <is>
          <t>三、G20峰会体验馆</t>
        </is>
      </c>
      <c r="C268" s="15" t="inlineStr">
        <is>
          <t>游客</t>
        </is>
      </c>
      <c r="D268" s="15" t="inlineStr">
        <is>
          <t>游客</t>
        </is>
      </c>
      <c r="E268" s="15" t="inlineStr">
        <is>
          <t>旅游服务</t>
        </is>
      </c>
      <c r="F268" s="15" t="inlineStr">
        <is>
          <t>产品服务</t>
        </is>
      </c>
      <c r="G268" s="17" t="n">
        <v>10</v>
      </c>
      <c r="H268" s="17" t="n">
        <v>0.125</v>
      </c>
      <c r="I268" s="17" t="n">
        <v>0.06666666666666667</v>
      </c>
      <c r="J268" s="17" t="n">
        <v>1</v>
      </c>
      <c r="K268" s="17" t="n">
        <v>0.5</v>
      </c>
      <c r="L268" s="17">
        <f>PRODUCT(H268:K268)</f>
        <v>0.004166666666666667</v>
      </c>
      <c r="M268" s="17">
        <f>G268*L268</f>
        <v>0.041666666666666664</v>
      </c>
      <c r="N268" s="17">
        <f>IF(K268=0,H268*I268,L268)</f>
        <v>0.004166666666666667</v>
      </c>
      <c r="O268" s="17">
        <f>G268*N268</f>
        <v>0.041666666666666664</v>
      </c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</row>
    <row r="269">
      <c r="A269" s="15" t="inlineStr">
        <is>
          <t>7月</t>
        </is>
      </c>
      <c r="B269" s="15" t="inlineStr">
        <is>
          <t>三、G20峰会体验馆</t>
        </is>
      </c>
      <c r="C269" s="15" t="inlineStr">
        <is>
          <t>游客</t>
        </is>
      </c>
      <c r="D269" s="15" t="inlineStr">
        <is>
          <t>游客</t>
        </is>
      </c>
      <c r="E269" s="15" t="inlineStr">
        <is>
          <t>硬件设施</t>
        </is>
      </c>
      <c r="F269" s="15" t="inlineStr">
        <is>
          <t>硬件设施</t>
        </is>
      </c>
      <c r="G269" s="17" t="n">
        <v>9.93</v>
      </c>
      <c r="H269" s="17" t="n">
        <v>0.125</v>
      </c>
      <c r="I269" s="17" t="n">
        <v>0.06666666666666667</v>
      </c>
      <c r="J269" s="17" t="n">
        <v>1</v>
      </c>
      <c r="K269" s="17" t="n">
        <v>0.5</v>
      </c>
      <c r="L269" s="17">
        <f>PRODUCT(H269:K269)</f>
        <v>0.004166666666666667</v>
      </c>
      <c r="M269" s="17">
        <f>G269*L269</f>
        <v>0.041374999999999995</v>
      </c>
      <c r="N269" s="17">
        <f>IF(K269=0,H269*I269,L269)</f>
        <v>0.004166666666666667</v>
      </c>
      <c r="O269" s="17">
        <f>G269*N269</f>
        <v>0.041374999999999995</v>
      </c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</row>
    <row r="270">
      <c r="A270" s="15" t="inlineStr">
        <is>
          <t>7月</t>
        </is>
      </c>
      <c r="B270" s="15" t="inlineStr">
        <is>
          <t>三、G20峰会体验馆</t>
        </is>
      </c>
      <c r="C270" s="15" t="inlineStr">
        <is>
          <t>旅行社工作人员</t>
        </is>
      </c>
      <c r="D270" s="15" t="inlineStr">
        <is>
          <t>旅行社工作人员</t>
        </is>
      </c>
      <c r="E270" s="15" t="inlineStr">
        <is>
          <t>旅游服务</t>
        </is>
      </c>
      <c r="F270" s="15" t="inlineStr">
        <is>
          <t>产品服务</t>
        </is>
      </c>
      <c r="G270" s="17" t="n">
        <v>10</v>
      </c>
      <c r="H270" s="17" t="n">
        <v>0.125</v>
      </c>
      <c r="I270" s="17" t="n">
        <v>0.06666666666666667</v>
      </c>
      <c r="J270" s="17" t="n">
        <v>1</v>
      </c>
      <c r="K270" s="17" t="n">
        <v>0.5</v>
      </c>
      <c r="L270" s="17">
        <f>PRODUCT(H270:K270)</f>
        <v>0.004166666666666667</v>
      </c>
      <c r="M270" s="17">
        <f>G270*L270</f>
        <v>0.041666666666666664</v>
      </c>
      <c r="N270" s="17">
        <f>IF(K270=0,H270*I270,L270)</f>
        <v>0.004166666666666667</v>
      </c>
      <c r="O270" s="17">
        <f>G270*N270</f>
        <v>0.041666666666666664</v>
      </c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</row>
    <row r="271">
      <c r="A271" s="15" t="inlineStr">
        <is>
          <t>7月</t>
        </is>
      </c>
      <c r="B271" s="15" t="inlineStr">
        <is>
          <t>三、G20峰会体验馆</t>
        </is>
      </c>
      <c r="C271" s="15" t="inlineStr">
        <is>
          <t>旅行社工作人员</t>
        </is>
      </c>
      <c r="D271" s="15" t="inlineStr">
        <is>
          <t>旅行社工作人员</t>
        </is>
      </c>
      <c r="E271" s="15" t="inlineStr">
        <is>
          <t>硬件设施</t>
        </is>
      </c>
      <c r="F271" s="15" t="inlineStr">
        <is>
          <t>硬件设施</t>
        </is>
      </c>
      <c r="G271" s="17" t="n">
        <v>9.630000000000001</v>
      </c>
      <c r="H271" s="17" t="n">
        <v>0.125</v>
      </c>
      <c r="I271" s="17" t="n">
        <v>0.06666666666666667</v>
      </c>
      <c r="J271" s="17" t="n">
        <v>1</v>
      </c>
      <c r="K271" s="17" t="n">
        <v>0.5</v>
      </c>
      <c r="L271" s="17">
        <f>PRODUCT(H271:K271)</f>
        <v>0.004166666666666667</v>
      </c>
      <c r="M271" s="17">
        <f>G271*L271</f>
        <v>0.040125</v>
      </c>
      <c r="N271" s="17">
        <f>IF(K271=0,H271*I271,L271)</f>
        <v>0.004166666666666667</v>
      </c>
      <c r="O271" s="17">
        <f>G271*N271</f>
        <v>0.040125</v>
      </c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</row>
    <row r="272">
      <c r="A272" s="15" t="inlineStr">
        <is>
          <t>7月</t>
        </is>
      </c>
      <c r="B272" s="15" t="inlineStr">
        <is>
          <t>五、酒店客户</t>
        </is>
      </c>
      <c r="C272" s="15" t="inlineStr">
        <is>
          <t>酒店散客</t>
        </is>
      </c>
      <c r="D272" s="15" t="inlineStr">
        <is>
          <t>散客</t>
        </is>
      </c>
      <c r="E272" s="15" t="inlineStr">
        <is>
          <t>硬件设施</t>
        </is>
      </c>
      <c r="F272" s="15" t="inlineStr">
        <is>
          <t>硬件设施</t>
        </is>
      </c>
      <c r="G272" s="17" t="n">
        <v>9.52</v>
      </c>
      <c r="H272" s="17" t="n">
        <v>0.125</v>
      </c>
      <c r="I272" s="17" t="n">
        <v>0.06666666666666667</v>
      </c>
      <c r="J272" s="17" t="n">
        <v>1</v>
      </c>
      <c r="K272" s="17" t="n">
        <v>0.3333333333333333</v>
      </c>
      <c r="L272" s="17">
        <f>PRODUCT(H272:K272)</f>
        <v>0.0027777777777777775</v>
      </c>
      <c r="M272" s="17">
        <f>G272*L272</f>
        <v>0.02644444444444444</v>
      </c>
      <c r="N272" s="17">
        <f>IF(K272=0,H272*I272,L272)</f>
        <v>0.0027777777777777775</v>
      </c>
      <c r="O272" s="17">
        <f>G272*N272</f>
        <v>0.02644444444444444</v>
      </c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</row>
    <row r="273">
      <c r="A273" s="15" t="inlineStr">
        <is>
          <t>7月</t>
        </is>
      </c>
      <c r="B273" s="15" t="inlineStr">
        <is>
          <t>五、酒店客户</t>
        </is>
      </c>
      <c r="C273" s="15" t="inlineStr">
        <is>
          <t>酒店散客</t>
        </is>
      </c>
      <c r="D273" s="15" t="inlineStr">
        <is>
          <t>散客</t>
        </is>
      </c>
      <c r="E273" s="15" t="inlineStr">
        <is>
          <t>入住服务</t>
        </is>
      </c>
      <c r="F273" s="15" t="inlineStr">
        <is>
          <t>产品服务</t>
        </is>
      </c>
      <c r="G273" s="17" t="n">
        <v>10</v>
      </c>
      <c r="H273" s="17" t="n">
        <v>0.125</v>
      </c>
      <c r="I273" s="17" t="n">
        <v>0.06666666666666667</v>
      </c>
      <c r="J273" s="17" t="n">
        <v>1</v>
      </c>
      <c r="K273" s="17" t="n">
        <v>0.3333333333333333</v>
      </c>
      <c r="L273" s="17">
        <f>PRODUCT(H273:K273)</f>
        <v>0.0027777777777777775</v>
      </c>
      <c r="M273" s="17">
        <f>G273*L273</f>
        <v>0.027777777777777776</v>
      </c>
      <c r="N273" s="17">
        <f>IF(K273=0,H273*I273,L273)</f>
        <v>0.0027777777777777775</v>
      </c>
      <c r="O273" s="17">
        <f>G273*N273</f>
        <v>0.027777777777777776</v>
      </c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</row>
    <row r="274">
      <c r="A274" s="15" t="inlineStr">
        <is>
          <t>7月</t>
        </is>
      </c>
      <c r="B274" s="15" t="inlineStr">
        <is>
          <t>五、酒店客户</t>
        </is>
      </c>
      <c r="C274" s="15" t="inlineStr">
        <is>
          <t>酒店散客</t>
        </is>
      </c>
      <c r="D274" s="15" t="inlineStr">
        <is>
          <t>散客</t>
        </is>
      </c>
      <c r="E274" s="15" t="inlineStr">
        <is>
          <t>餐饮服务</t>
        </is>
      </c>
      <c r="F274" s="15" t="inlineStr">
        <is>
          <t>餐饮服务</t>
        </is>
      </c>
      <c r="G274" s="17" t="n">
        <v>10</v>
      </c>
      <c r="H274" s="17" t="n">
        <v>0.125</v>
      </c>
      <c r="I274" s="17" t="n">
        <v>0.06666666666666667</v>
      </c>
      <c r="J274" s="17" t="n">
        <v>1</v>
      </c>
      <c r="K274" s="17" t="n">
        <v>0.3333333333333333</v>
      </c>
      <c r="L274" s="17">
        <f>PRODUCT(H274:K274)</f>
        <v>0.0027777777777777775</v>
      </c>
      <c r="M274" s="17">
        <f>G274*L274</f>
        <v>0.027777777777777776</v>
      </c>
      <c r="N274" s="17">
        <f>IF(K274=0,H274*I274,L274)</f>
        <v>0.0027777777777777775</v>
      </c>
      <c r="O274" s="17">
        <f>G274*N274</f>
        <v>0.027777777777777776</v>
      </c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</row>
    <row r="275">
      <c r="A275" s="15" t="inlineStr">
        <is>
          <t>7月</t>
        </is>
      </c>
      <c r="B275" s="15" t="inlineStr">
        <is>
          <t>五、酒店客户</t>
        </is>
      </c>
      <c r="C275" s="15" t="inlineStr">
        <is>
          <t>酒店住宿团队</t>
        </is>
      </c>
      <c r="D275" s="15" t="inlineStr">
        <is>
          <t>住宿团队</t>
        </is>
      </c>
      <c r="E275" s="15" t="inlineStr">
        <is>
          <t>硬件设施</t>
        </is>
      </c>
      <c r="F275" s="15" t="inlineStr">
        <is>
          <t>硬件设施</t>
        </is>
      </c>
      <c r="G275" s="17" t="n">
        <v>9.75</v>
      </c>
      <c r="H275" s="17" t="n">
        <v>0.125</v>
      </c>
      <c r="I275" s="17" t="n">
        <v>0.06666666666666667</v>
      </c>
      <c r="J275" s="17" t="n">
        <v>1</v>
      </c>
      <c r="K275" s="17" t="n">
        <v>0.3333333333333333</v>
      </c>
      <c r="L275" s="17">
        <f>PRODUCT(H275:K275)</f>
        <v>0.0027777777777777775</v>
      </c>
      <c r="M275" s="17">
        <f>G275*L275</f>
        <v>0.02708333333333333</v>
      </c>
      <c r="N275" s="17">
        <f>IF(K275=0,H275*I275,L275)</f>
        <v>0.0027777777777777775</v>
      </c>
      <c r="O275" s="17">
        <f>G275*N275</f>
        <v>0.02708333333333333</v>
      </c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</row>
    <row r="276">
      <c r="A276" s="15" t="inlineStr">
        <is>
          <t>7月</t>
        </is>
      </c>
      <c r="B276" s="15" t="inlineStr">
        <is>
          <t>五、酒店客户</t>
        </is>
      </c>
      <c r="C276" s="15" t="inlineStr">
        <is>
          <t>酒店住宿团队</t>
        </is>
      </c>
      <c r="D276" s="15" t="inlineStr">
        <is>
          <t>住宿团队</t>
        </is>
      </c>
      <c r="E276" s="15" t="inlineStr">
        <is>
          <t>入住服务</t>
        </is>
      </c>
      <c r="F276" s="15" t="inlineStr">
        <is>
          <t>产品服务</t>
        </is>
      </c>
      <c r="G276" s="17" t="n">
        <v>10</v>
      </c>
      <c r="H276" s="17" t="n">
        <v>0.125</v>
      </c>
      <c r="I276" s="17" t="n">
        <v>0.06666666666666667</v>
      </c>
      <c r="J276" s="17" t="n">
        <v>1</v>
      </c>
      <c r="K276" s="17" t="n">
        <v>0.3333333333333333</v>
      </c>
      <c r="L276" s="17">
        <f>PRODUCT(H276:K276)</f>
        <v>0.0027777777777777775</v>
      </c>
      <c r="M276" s="17">
        <f>G276*L276</f>
        <v>0.027777777777777776</v>
      </c>
      <c r="N276" s="17">
        <f>IF(K276=0,H276*I276,L276)</f>
        <v>0.0027777777777777775</v>
      </c>
      <c r="O276" s="17">
        <f>G276*N276</f>
        <v>0.027777777777777776</v>
      </c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</row>
    <row r="277">
      <c r="A277" s="15" t="inlineStr">
        <is>
          <t>7月</t>
        </is>
      </c>
      <c r="B277" s="15" t="inlineStr">
        <is>
          <t>五、酒店客户</t>
        </is>
      </c>
      <c r="C277" s="15" t="inlineStr">
        <is>
          <t>酒店住宿团队</t>
        </is>
      </c>
      <c r="D277" s="15" t="inlineStr">
        <is>
          <t>住宿团队</t>
        </is>
      </c>
      <c r="E277" s="15" t="inlineStr">
        <is>
          <t>餐饮服务</t>
        </is>
      </c>
      <c r="F277" s="15" t="inlineStr">
        <is>
          <t>餐饮服务</t>
        </is>
      </c>
      <c r="G277" s="17" t="n">
        <v>9.93</v>
      </c>
      <c r="H277" s="17" t="n">
        <v>0.125</v>
      </c>
      <c r="I277" s="17" t="n">
        <v>0.06666666666666667</v>
      </c>
      <c r="J277" s="17" t="n">
        <v>1</v>
      </c>
      <c r="K277" s="17" t="n">
        <v>0.3333333333333333</v>
      </c>
      <c r="L277" s="17">
        <f>PRODUCT(H277:K277)</f>
        <v>0.0027777777777777775</v>
      </c>
      <c r="M277" s="17">
        <f>G277*L277</f>
        <v>0.027583333333333328</v>
      </c>
      <c r="N277" s="17">
        <f>IF(K277=0,H277*I277,L277)</f>
        <v>0.0027777777777777775</v>
      </c>
      <c r="O277" s="17">
        <f>G277*N277</f>
        <v>0.027583333333333328</v>
      </c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</row>
    <row r="278">
      <c r="A278" s="15" t="inlineStr">
        <is>
          <t>7月</t>
        </is>
      </c>
      <c r="B278" s="15" t="inlineStr">
        <is>
          <t>五、酒店客户</t>
        </is>
      </c>
      <c r="C278" s="15" t="inlineStr">
        <is>
          <t>酒店参会客户</t>
        </is>
      </c>
      <c r="D278" s="15" t="inlineStr">
        <is>
          <t>酒店参会客户</t>
        </is>
      </c>
      <c r="E278" s="15" t="inlineStr">
        <is>
          <t>会展服务</t>
        </is>
      </c>
      <c r="F278" s="15" t="inlineStr">
        <is>
          <t>产品服务</t>
        </is>
      </c>
      <c r="G278" s="17" t="n">
        <v>10</v>
      </c>
      <c r="H278" s="17" t="n">
        <v>0.125</v>
      </c>
      <c r="I278" s="17" t="n">
        <v>0.06666666666666667</v>
      </c>
      <c r="J278" s="17" t="n">
        <v>1</v>
      </c>
      <c r="K278" s="17" t="n">
        <v>0.3333333333333333</v>
      </c>
      <c r="L278" s="17">
        <f>PRODUCT(H278:K278)</f>
        <v>0.0027777777777777775</v>
      </c>
      <c r="M278" s="17">
        <f>G278*L278</f>
        <v>0.027777777777777776</v>
      </c>
      <c r="N278" s="17">
        <f>IF(K278=0,H278*I278,L278)</f>
        <v>0.0027777777777777775</v>
      </c>
      <c r="O278" s="17">
        <f>G278*N278</f>
        <v>0.027777777777777776</v>
      </c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</row>
    <row r="279">
      <c r="A279" s="15" t="inlineStr">
        <is>
          <t>7月</t>
        </is>
      </c>
      <c r="B279" s="15" t="inlineStr">
        <is>
          <t>五、酒店客户</t>
        </is>
      </c>
      <c r="C279" s="15" t="inlineStr">
        <is>
          <t>酒店参会客户</t>
        </is>
      </c>
      <c r="D279" s="15" t="inlineStr">
        <is>
          <t>酒店参会客户</t>
        </is>
      </c>
      <c r="E279" s="15" t="inlineStr">
        <is>
          <t>硬件设施</t>
        </is>
      </c>
      <c r="F279" s="15" t="inlineStr">
        <is>
          <t>硬件设施</t>
        </is>
      </c>
      <c r="G279" s="17" t="n">
        <v>9.880000000000001</v>
      </c>
      <c r="H279" s="17" t="n">
        <v>0.125</v>
      </c>
      <c r="I279" s="17" t="n">
        <v>0.06666666666666667</v>
      </c>
      <c r="J279" s="17" t="n">
        <v>1</v>
      </c>
      <c r="K279" s="17" t="n">
        <v>0.3333333333333333</v>
      </c>
      <c r="L279" s="17">
        <f>PRODUCT(H279:K279)</f>
        <v>0.0027777777777777775</v>
      </c>
      <c r="M279" s="17">
        <f>G279*L279</f>
        <v>0.027444444444444445</v>
      </c>
      <c r="N279" s="17">
        <f>IF(K279=0,H279*I279,L279)</f>
        <v>0.0027777777777777775</v>
      </c>
      <c r="O279" s="17">
        <f>G279*N279</f>
        <v>0.027444444444444445</v>
      </c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</row>
    <row r="280">
      <c r="A280" s="15" t="inlineStr">
        <is>
          <t>7月</t>
        </is>
      </c>
      <c r="B280" s="15" t="inlineStr">
        <is>
          <t>五、酒店客户</t>
        </is>
      </c>
      <c r="C280" s="15" t="inlineStr">
        <is>
          <t>酒店参会客户</t>
        </is>
      </c>
      <c r="D280" s="15" t="inlineStr">
        <is>
          <t>酒店参会客户</t>
        </is>
      </c>
      <c r="E280" s="15" t="inlineStr">
        <is>
          <t>配套服务</t>
        </is>
      </c>
      <c r="F280" s="15" t="inlineStr">
        <is>
          <t>配套服务</t>
        </is>
      </c>
      <c r="G280" s="17" t="n">
        <v>9.960000000000001</v>
      </c>
      <c r="H280" s="17" t="n">
        <v>0.125</v>
      </c>
      <c r="I280" s="17" t="n">
        <v>0.06666666666666667</v>
      </c>
      <c r="J280" s="17" t="n">
        <v>1</v>
      </c>
      <c r="K280" s="17" t="n">
        <v>0.3333333333333333</v>
      </c>
      <c r="L280" s="17">
        <f>PRODUCT(H280:K280)</f>
        <v>0.0027777777777777775</v>
      </c>
      <c r="M280" s="17">
        <f>G280*L280</f>
        <v>0.027666666666666666</v>
      </c>
      <c r="N280" s="17">
        <f>IF(K280=0,H280*I280,L280)</f>
        <v>0.0027777777777777775</v>
      </c>
      <c r="O280" s="17">
        <f>G280*N280</f>
        <v>0.027666666666666666</v>
      </c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</row>
    <row r="281">
      <c r="A281" s="15" t="inlineStr">
        <is>
          <t>7月</t>
        </is>
      </c>
      <c r="B281" s="15" t="inlineStr">
        <is>
          <t>五、酒店客户</t>
        </is>
      </c>
      <c r="C281" s="15" t="inlineStr">
        <is>
          <t>酒店参会客户</t>
        </is>
      </c>
      <c r="D281" s="15" t="inlineStr">
        <is>
          <t>配套服务子项</t>
        </is>
      </c>
      <c r="E281" s="15" t="inlineStr">
        <is>
          <t>其中：餐饮服务</t>
        </is>
      </c>
      <c r="F281" s="15" t="inlineStr">
        <is>
          <t>餐饮服务</t>
        </is>
      </c>
      <c r="G281" s="17" t="n">
        <v>10</v>
      </c>
      <c r="H281" s="17" t="n">
        <v>0.125</v>
      </c>
      <c r="I281" s="17" t="n">
        <v>0.06666666666666667</v>
      </c>
      <c r="J281" s="17" t="n">
        <v>1</v>
      </c>
      <c r="K281" s="17" t="n">
        <v>0</v>
      </c>
      <c r="L281" s="17">
        <f>PRODUCT(H281:K281)</f>
        <v>0.0</v>
      </c>
      <c r="M281" s="17">
        <f>G281*L281</f>
        <v>0.0</v>
      </c>
      <c r="N281" s="17">
        <f>IF(K281=0,H281*I281,L281)</f>
        <v>0.008333333333333333</v>
      </c>
      <c r="O281" s="17">
        <f>G281*N281</f>
        <v>0.08333333333333333</v>
      </c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</row>
    <row r="282">
      <c r="A282" s="15" t="inlineStr">
        <is>
          <t>7月</t>
        </is>
      </c>
      <c r="B282" s="15" t="inlineStr">
        <is>
          <t>五、酒店客户</t>
        </is>
      </c>
      <c r="C282" s="15" t="inlineStr">
        <is>
          <t>酒店会议主（承）办</t>
        </is>
      </c>
      <c r="D282" s="15" t="inlineStr">
        <is>
          <t>酒店会议主承办</t>
        </is>
      </c>
      <c r="E282" s="15" t="inlineStr">
        <is>
          <t>会展服务</t>
        </is>
      </c>
      <c r="F282" s="15" t="inlineStr">
        <is>
          <t>产品服务</t>
        </is>
      </c>
      <c r="G282" s="17" t="n">
        <v>9.94</v>
      </c>
      <c r="H282" s="17" t="n">
        <v>0.125</v>
      </c>
      <c r="I282" s="17" t="n">
        <v>0.06666666666666667</v>
      </c>
      <c r="J282" s="17" t="n">
        <v>1</v>
      </c>
      <c r="K282" s="17" t="n">
        <v>0.3333333333333333</v>
      </c>
      <c r="L282" s="17">
        <f>PRODUCT(H282:K282)</f>
        <v>0.0027777777777777775</v>
      </c>
      <c r="M282" s="17">
        <f>G282*L282</f>
        <v>0.027611111111111107</v>
      </c>
      <c r="N282" s="17">
        <f>IF(K282=0,H282*I282,L282)</f>
        <v>0.0027777777777777775</v>
      </c>
      <c r="O282" s="17">
        <f>G282*N282</f>
        <v>0.027611111111111107</v>
      </c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</row>
    <row r="283">
      <c r="A283" s="15" t="inlineStr">
        <is>
          <t>7月</t>
        </is>
      </c>
      <c r="B283" s="15" t="inlineStr">
        <is>
          <t>五、酒店客户</t>
        </is>
      </c>
      <c r="C283" s="15" t="inlineStr">
        <is>
          <t>酒店会议主（承）办</t>
        </is>
      </c>
      <c r="D283" s="15" t="inlineStr">
        <is>
          <t>酒店会议主承办</t>
        </is>
      </c>
      <c r="E283" s="15" t="inlineStr">
        <is>
          <t>硬件设施</t>
        </is>
      </c>
      <c r="F283" s="15" t="inlineStr">
        <is>
          <t>硬件设施</t>
        </is>
      </c>
      <c r="G283" s="17" t="n">
        <v>9.94</v>
      </c>
      <c r="H283" s="17" t="n">
        <v>0.125</v>
      </c>
      <c r="I283" s="17" t="n">
        <v>0.06666666666666667</v>
      </c>
      <c r="J283" s="17" t="n">
        <v>1</v>
      </c>
      <c r="K283" s="17" t="n">
        <v>0.3333333333333333</v>
      </c>
      <c r="L283" s="17">
        <f>PRODUCT(H283:K283)</f>
        <v>0.0027777777777777775</v>
      </c>
      <c r="M283" s="17">
        <f>G283*L283</f>
        <v>0.027611111111111107</v>
      </c>
      <c r="N283" s="17">
        <f>IF(K283=0,H283*I283,L283)</f>
        <v>0.0027777777777777775</v>
      </c>
      <c r="O283" s="17">
        <f>G283*N283</f>
        <v>0.027611111111111107</v>
      </c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</row>
    <row r="284">
      <c r="A284" s="15" t="inlineStr">
        <is>
          <t>7月</t>
        </is>
      </c>
      <c r="B284" s="15" t="inlineStr">
        <is>
          <t>五、酒店客户</t>
        </is>
      </c>
      <c r="C284" s="15" t="inlineStr">
        <is>
          <t>酒店会议主（承）办</t>
        </is>
      </c>
      <c r="D284" s="15" t="inlineStr">
        <is>
          <t>酒店会议主承办</t>
        </is>
      </c>
      <c r="E284" s="15" t="inlineStr">
        <is>
          <t>配套服务</t>
        </is>
      </c>
      <c r="F284" s="15" t="inlineStr">
        <is>
          <t>配套服务</t>
        </is>
      </c>
      <c r="G284" s="17" t="n">
        <v>10</v>
      </c>
      <c r="H284" s="17" t="n">
        <v>0.125</v>
      </c>
      <c r="I284" s="17" t="n">
        <v>0.06666666666666667</v>
      </c>
      <c r="J284" s="17" t="n">
        <v>1</v>
      </c>
      <c r="K284" s="17" t="n">
        <v>0.3333333333333333</v>
      </c>
      <c r="L284" s="17">
        <f>PRODUCT(H284:K284)</f>
        <v>0.0027777777777777775</v>
      </c>
      <c r="M284" s="17">
        <f>G284*L284</f>
        <v>0.027777777777777776</v>
      </c>
      <c r="N284" s="17">
        <f>IF(K284=0,H284*I284,L284)</f>
        <v>0.0027777777777777775</v>
      </c>
      <c r="O284" s="17">
        <f>G284*N284</f>
        <v>0.027777777777777776</v>
      </c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</row>
    <row r="285">
      <c r="A285" s="15" t="inlineStr">
        <is>
          <t>7月</t>
        </is>
      </c>
      <c r="B285" s="15" t="inlineStr">
        <is>
          <t>五、酒店客户</t>
        </is>
      </c>
      <c r="C285" s="15" t="inlineStr">
        <is>
          <t>酒店会议主（承）办</t>
        </is>
      </c>
      <c r="D285" s="15" t="inlineStr">
        <is>
          <t>配套服务子项</t>
        </is>
      </c>
      <c r="E285" s="15" t="inlineStr">
        <is>
          <t>其中：餐饮服务</t>
        </is>
      </c>
      <c r="F285" s="15" t="inlineStr">
        <is>
          <t>餐饮服务</t>
        </is>
      </c>
      <c r="G285" s="17" t="n">
        <v>10</v>
      </c>
      <c r="H285" s="17" t="n">
        <v>0.125</v>
      </c>
      <c r="I285" s="17" t="n">
        <v>0.06666666666666667</v>
      </c>
      <c r="J285" s="17" t="n">
        <v>1</v>
      </c>
      <c r="K285" s="17" t="n">
        <v>0</v>
      </c>
      <c r="L285" s="17">
        <f>PRODUCT(H285:K285)</f>
        <v>0.0</v>
      </c>
      <c r="M285" s="17">
        <f>G285*L285</f>
        <v>0.0</v>
      </c>
      <c r="N285" s="17">
        <f>IF(K285=0,H285*I285,L285)</f>
        <v>0.008333333333333333</v>
      </c>
      <c r="O285" s="17">
        <f>G285*N285</f>
        <v>0.08333333333333333</v>
      </c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</row>
    <row r="286">
      <c r="A286" s="15" t="inlineStr">
        <is>
          <t>7月</t>
        </is>
      </c>
      <c r="B286" s="15" t="inlineStr">
        <is>
          <t>五、酒店客户</t>
        </is>
      </c>
      <c r="C286" s="15" t="inlineStr">
        <is>
          <t>酒店餐饮客户</t>
        </is>
      </c>
      <c r="D286" s="15" t="inlineStr">
        <is>
          <t>酒店宴会</t>
        </is>
      </c>
      <c r="E286" s="15" t="inlineStr">
        <is>
          <t>餐饮服务</t>
        </is>
      </c>
      <c r="F286" s="15" t="inlineStr">
        <is>
          <t>餐饮服务</t>
        </is>
      </c>
      <c r="G286" s="17" t="n">
        <v>9.83</v>
      </c>
      <c r="H286" s="17" t="n">
        <v>0.125</v>
      </c>
      <c r="I286" s="17" t="n">
        <v>0.06666666666666667</v>
      </c>
      <c r="J286" s="17" t="n">
        <v>0.5</v>
      </c>
      <c r="K286" s="17" t="n">
        <v>0.5</v>
      </c>
      <c r="L286" s="17">
        <f>PRODUCT(H286:K286)</f>
        <v>0.0020833333333333333</v>
      </c>
      <c r="M286" s="17">
        <f>G286*L286</f>
        <v>0.020479166666666666</v>
      </c>
      <c r="N286" s="17">
        <f>IF(K286=0,H286*I286,L286)</f>
        <v>0.0020833333333333333</v>
      </c>
      <c r="O286" s="17">
        <f>G286*N286</f>
        <v>0.020479166666666666</v>
      </c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</row>
    <row r="287">
      <c r="A287" s="15" t="inlineStr">
        <is>
          <t>7月</t>
        </is>
      </c>
      <c r="B287" s="15" t="inlineStr">
        <is>
          <t>五、酒店客户</t>
        </is>
      </c>
      <c r="C287" s="15" t="inlineStr">
        <is>
          <t>酒店餐饮客户</t>
        </is>
      </c>
      <c r="D287" s="15" t="inlineStr">
        <is>
          <t>酒店宴会</t>
        </is>
      </c>
      <c r="E287" s="15" t="inlineStr">
        <is>
          <t>硬件设施</t>
        </is>
      </c>
      <c r="F287" s="15" t="inlineStr">
        <is>
          <t>硬件设施</t>
        </is>
      </c>
      <c r="G287" s="17" t="n">
        <v>9.48</v>
      </c>
      <c r="H287" s="17" t="n">
        <v>0.125</v>
      </c>
      <c r="I287" s="17" t="n">
        <v>0.06666666666666667</v>
      </c>
      <c r="J287" s="17" t="n">
        <v>0.5</v>
      </c>
      <c r="K287" s="17" t="n">
        <v>0.5</v>
      </c>
      <c r="L287" s="17">
        <f>PRODUCT(H287:K287)</f>
        <v>0.0020833333333333333</v>
      </c>
      <c r="M287" s="17">
        <f>G287*L287</f>
        <v>0.01975</v>
      </c>
      <c r="N287" s="17">
        <f>IF(K287=0,H287*I287,L287)</f>
        <v>0.0020833333333333333</v>
      </c>
      <c r="O287" s="17">
        <f>G287*N287</f>
        <v>0.01975</v>
      </c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</row>
    <row r="288">
      <c r="A288" s="15" t="inlineStr">
        <is>
          <t>7月</t>
        </is>
      </c>
      <c r="B288" s="15" t="inlineStr">
        <is>
          <t>五、酒店客户</t>
        </is>
      </c>
      <c r="C288" s="15" t="inlineStr">
        <is>
          <t>酒店餐饮客户</t>
        </is>
      </c>
      <c r="D288" s="15" t="inlineStr">
        <is>
          <t>酒店自助餐</t>
        </is>
      </c>
      <c r="E288" s="15" t="inlineStr">
        <is>
          <t>餐饮服务</t>
        </is>
      </c>
      <c r="F288" s="15" t="inlineStr">
        <is>
          <t>餐饮服务</t>
        </is>
      </c>
      <c r="G288" s="17" t="n">
        <v>9.76</v>
      </c>
      <c r="H288" s="17" t="n">
        <v>0.125</v>
      </c>
      <c r="I288" s="17" t="n">
        <v>0.06666666666666667</v>
      </c>
      <c r="J288" s="17" t="n">
        <v>0.5</v>
      </c>
      <c r="K288" s="17" t="n">
        <v>0.5</v>
      </c>
      <c r="L288" s="17">
        <f>PRODUCT(H288:K288)</f>
        <v>0.0020833333333333333</v>
      </c>
      <c r="M288" s="17">
        <f>G288*L288</f>
        <v>0.02033333333333333</v>
      </c>
      <c r="N288" s="17">
        <f>IF(K288=0,H288*I288,L288)</f>
        <v>0.0020833333333333333</v>
      </c>
      <c r="O288" s="17">
        <f>G288*N288</f>
        <v>0.02033333333333333</v>
      </c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</row>
    <row r="289">
      <c r="A289" s="15" t="inlineStr">
        <is>
          <t>7月</t>
        </is>
      </c>
      <c r="B289" s="15" t="inlineStr">
        <is>
          <t>五、酒店客户</t>
        </is>
      </c>
      <c r="C289" s="15" t="inlineStr">
        <is>
          <t>酒店餐饮客户</t>
        </is>
      </c>
      <c r="D289" s="15" t="inlineStr">
        <is>
          <t>酒店自助餐</t>
        </is>
      </c>
      <c r="E289" s="15" t="inlineStr">
        <is>
          <t>硬件设施</t>
        </is>
      </c>
      <c r="F289" s="15" t="inlineStr">
        <is>
          <t>硬件设施</t>
        </is>
      </c>
      <c r="G289" s="17" t="n">
        <v>9.02</v>
      </c>
      <c r="H289" s="17" t="n">
        <v>0.125</v>
      </c>
      <c r="I289" s="17" t="n">
        <v>0.06666666666666667</v>
      </c>
      <c r="J289" s="17" t="n">
        <v>0.5</v>
      </c>
      <c r="K289" s="17" t="n">
        <v>0.5</v>
      </c>
      <c r="L289" s="17">
        <f>PRODUCT(H289:K289)</f>
        <v>0.0020833333333333333</v>
      </c>
      <c r="M289" s="17">
        <f>G289*L289</f>
        <v>0.018791666666666665</v>
      </c>
      <c r="N289" s="17">
        <f>IF(K289=0,H289*I289,L289)</f>
        <v>0.0020833333333333333</v>
      </c>
      <c r="O289" s="17">
        <f>G289*N289</f>
        <v>0.018791666666666665</v>
      </c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</row>
    <row r="290">
      <c r="A290" s="15" t="inlineStr">
        <is>
          <t>8月</t>
        </is>
      </c>
      <c r="B290" s="15" t="inlineStr">
        <is>
          <t>一、会展客户</t>
        </is>
      </c>
      <c r="C290" s="15" t="inlineStr">
        <is>
          <t>展览活动主（承）办</t>
        </is>
      </c>
      <c r="D290" s="15" t="inlineStr">
        <is>
          <t>展览主承办</t>
        </is>
      </c>
      <c r="E290" s="15" t="inlineStr">
        <is>
          <t>会展服务</t>
        </is>
      </c>
      <c r="F290" s="15" t="inlineStr">
        <is>
          <t>产品服务</t>
        </is>
      </c>
      <c r="G290" s="17" t="n">
        <v>9.890000000000001</v>
      </c>
      <c r="H290" s="17" t="n">
        <v>0.125</v>
      </c>
      <c r="I290" s="17" t="n">
        <v>0.06666666666666667</v>
      </c>
      <c r="J290" s="17" t="n">
        <v>1</v>
      </c>
      <c r="K290" s="17" t="n">
        <v>0.3333333333333333</v>
      </c>
      <c r="L290" s="17">
        <f>PRODUCT(H290:K290)</f>
        <v>0.0027777777777777775</v>
      </c>
      <c r="M290" s="17">
        <f>G290*L290</f>
        <v>0.02747222222222222</v>
      </c>
      <c r="N290" s="17">
        <f>IF(K290=0,H290*I290,L290)</f>
        <v>0.0027777777777777775</v>
      </c>
      <c r="O290" s="17">
        <f>G290*N290</f>
        <v>0.02747222222222222</v>
      </c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</row>
    <row r="291">
      <c r="A291" s="15" t="inlineStr">
        <is>
          <t>8月</t>
        </is>
      </c>
      <c r="B291" s="15" t="inlineStr">
        <is>
          <t>一、会展客户</t>
        </is>
      </c>
      <c r="C291" s="15" t="inlineStr">
        <is>
          <t>展览活动主（承）办</t>
        </is>
      </c>
      <c r="D291" s="15" t="inlineStr">
        <is>
          <t>展览主承办</t>
        </is>
      </c>
      <c r="E291" s="15" t="inlineStr">
        <is>
          <t>硬件设施</t>
        </is>
      </c>
      <c r="F291" s="15" t="inlineStr">
        <is>
          <t>硬件设施</t>
        </is>
      </c>
      <c r="G291" s="17" t="n">
        <v>9.73</v>
      </c>
      <c r="H291" s="17" t="n">
        <v>0.125</v>
      </c>
      <c r="I291" s="17" t="n">
        <v>0.06666666666666667</v>
      </c>
      <c r="J291" s="17" t="n">
        <v>1</v>
      </c>
      <c r="K291" s="17" t="n">
        <v>0.3333333333333333</v>
      </c>
      <c r="L291" s="17">
        <f>PRODUCT(H291:K291)</f>
        <v>0.0027777777777777775</v>
      </c>
      <c r="M291" s="17">
        <f>G291*L291</f>
        <v>0.027027777777777776</v>
      </c>
      <c r="N291" s="17">
        <f>IF(K291=0,H291*I291,L291)</f>
        <v>0.0027777777777777775</v>
      </c>
      <c r="O291" s="17">
        <f>G291*N291</f>
        <v>0.027027777777777776</v>
      </c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</row>
    <row r="292">
      <c r="A292" s="15" t="inlineStr">
        <is>
          <t>8月</t>
        </is>
      </c>
      <c r="B292" s="15" t="inlineStr">
        <is>
          <t>一、会展客户</t>
        </is>
      </c>
      <c r="C292" s="15" t="inlineStr">
        <is>
          <t>展览活动主（承）办</t>
        </is>
      </c>
      <c r="D292" s="15" t="inlineStr">
        <is>
          <t>展览主承办</t>
        </is>
      </c>
      <c r="E292" s="15" t="inlineStr">
        <is>
          <t>配套服务</t>
        </is>
      </c>
      <c r="F292" s="15" t="inlineStr">
        <is>
          <t>配套服务</t>
        </is>
      </c>
      <c r="G292" s="17" t="n">
        <v>9.710000000000001</v>
      </c>
      <c r="H292" s="17" t="n">
        <v>0.125</v>
      </c>
      <c r="I292" s="17" t="n">
        <v>0.06666666666666667</v>
      </c>
      <c r="J292" s="17" t="n">
        <v>1</v>
      </c>
      <c r="K292" s="17" t="n">
        <v>0.3333333333333333</v>
      </c>
      <c r="L292" s="17">
        <f>PRODUCT(H292:K292)</f>
        <v>0.0027777777777777775</v>
      </c>
      <c r="M292" s="17">
        <f>G292*L292</f>
        <v>0.02697222222222222</v>
      </c>
      <c r="N292" s="17">
        <f>IF(K292=0,H292*I292,L292)</f>
        <v>0.0027777777777777775</v>
      </c>
      <c r="O292" s="17">
        <f>G292*N292</f>
        <v>0.02697222222222222</v>
      </c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</row>
    <row r="293">
      <c r="A293" s="15" t="inlineStr">
        <is>
          <t>8月</t>
        </is>
      </c>
      <c r="B293" s="15" t="inlineStr">
        <is>
          <t>一、会展客户</t>
        </is>
      </c>
      <c r="C293" s="15" t="inlineStr">
        <is>
          <t>展览活动主（承）办</t>
        </is>
      </c>
      <c r="D293" s="15" t="inlineStr">
        <is>
          <t>配套服务子项</t>
        </is>
      </c>
      <c r="E293" s="15" t="inlineStr">
        <is>
          <t>其中：餐饮服务</t>
        </is>
      </c>
      <c r="F293" s="15" t="inlineStr">
        <is>
          <t>餐饮服务</t>
        </is>
      </c>
      <c r="G293" s="17" t="n">
        <v>8.83</v>
      </c>
      <c r="H293" s="17" t="n">
        <v>0.125</v>
      </c>
      <c r="I293" s="17" t="n">
        <v>0.06666666666666667</v>
      </c>
      <c r="J293" s="17" t="n">
        <v>1</v>
      </c>
      <c r="K293" s="17" t="n">
        <v>0</v>
      </c>
      <c r="L293" s="17">
        <f>PRODUCT(H293:K293)</f>
        <v>0.0</v>
      </c>
      <c r="M293" s="17">
        <f>G293*L293</f>
        <v>0.0</v>
      </c>
      <c r="N293" s="17">
        <f>IF(K293=0,H293*I293,L293)</f>
        <v>0.008333333333333333</v>
      </c>
      <c r="O293" s="17">
        <f>G293*N293</f>
        <v>0.07358333333333333</v>
      </c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</row>
    <row r="294">
      <c r="A294" s="15" t="inlineStr">
        <is>
          <t>8月</t>
        </is>
      </c>
      <c r="B294" s="15" t="inlineStr">
        <is>
          <t>一、会展客户</t>
        </is>
      </c>
      <c r="C294" s="15" t="inlineStr">
        <is>
          <t>参展商</t>
        </is>
      </c>
      <c r="D294" s="15" t="inlineStr">
        <is>
          <t>参展商</t>
        </is>
      </c>
      <c r="E294" s="15" t="inlineStr">
        <is>
          <t>会场服务</t>
        </is>
      </c>
      <c r="F294" s="15" t="inlineStr">
        <is>
          <t>产品服务</t>
        </is>
      </c>
      <c r="G294" s="17" t="n">
        <v>9.93</v>
      </c>
      <c r="H294" s="17" t="n">
        <v>0.125</v>
      </c>
      <c r="I294" s="17" t="n">
        <v>0.06666666666666667</v>
      </c>
      <c r="J294" s="17" t="n">
        <v>1</v>
      </c>
      <c r="K294" s="17" t="n">
        <v>0.3333333333333333</v>
      </c>
      <c r="L294" s="17">
        <f>PRODUCT(H294:K294)</f>
        <v>0.0027777777777777775</v>
      </c>
      <c r="M294" s="17">
        <f>G294*L294</f>
        <v>0.027583333333333328</v>
      </c>
      <c r="N294" s="17">
        <f>IF(K294=0,H294*I294,L294)</f>
        <v>0.0027777777777777775</v>
      </c>
      <c r="O294" s="17">
        <f>G294*N294</f>
        <v>0.027583333333333328</v>
      </c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</row>
    <row r="295">
      <c r="A295" s="15" t="inlineStr">
        <is>
          <t>8月</t>
        </is>
      </c>
      <c r="B295" s="15" t="inlineStr">
        <is>
          <t>一、会展客户</t>
        </is>
      </c>
      <c r="C295" s="15" t="inlineStr">
        <is>
          <t>参展商</t>
        </is>
      </c>
      <c r="D295" s="15" t="inlineStr">
        <is>
          <t>参展商</t>
        </is>
      </c>
      <c r="E295" s="15" t="inlineStr">
        <is>
          <t>硬件设施</t>
        </is>
      </c>
      <c r="F295" s="15" t="inlineStr">
        <is>
          <t>硬件设施</t>
        </is>
      </c>
      <c r="G295" s="17" t="n">
        <v>9.43</v>
      </c>
      <c r="H295" s="17" t="n">
        <v>0.125</v>
      </c>
      <c r="I295" s="17" t="n">
        <v>0.06666666666666667</v>
      </c>
      <c r="J295" s="17" t="n">
        <v>1</v>
      </c>
      <c r="K295" s="17" t="n">
        <v>0.3333333333333333</v>
      </c>
      <c r="L295" s="17">
        <f>PRODUCT(H295:K295)</f>
        <v>0.0027777777777777775</v>
      </c>
      <c r="M295" s="17">
        <f>G295*L295</f>
        <v>0.02619444444444444</v>
      </c>
      <c r="N295" s="17">
        <f>IF(K295=0,H295*I295,L295)</f>
        <v>0.0027777777777777775</v>
      </c>
      <c r="O295" s="17">
        <f>G295*N295</f>
        <v>0.02619444444444444</v>
      </c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</row>
    <row r="296">
      <c r="A296" s="15" t="inlineStr">
        <is>
          <t>8月</t>
        </is>
      </c>
      <c r="B296" s="15" t="inlineStr">
        <is>
          <t>一、会展客户</t>
        </is>
      </c>
      <c r="C296" s="15" t="inlineStr">
        <is>
          <t>参展商</t>
        </is>
      </c>
      <c r="D296" s="15" t="inlineStr">
        <is>
          <t>参展商</t>
        </is>
      </c>
      <c r="E296" s="15" t="inlineStr">
        <is>
          <t>配套服务</t>
        </is>
      </c>
      <c r="F296" s="15" t="inlineStr">
        <is>
          <t>配套服务</t>
        </is>
      </c>
      <c r="G296" s="17" t="n">
        <v>9.83</v>
      </c>
      <c r="H296" s="17" t="n">
        <v>0.125</v>
      </c>
      <c r="I296" s="17" t="n">
        <v>0.06666666666666667</v>
      </c>
      <c r="J296" s="17" t="n">
        <v>1</v>
      </c>
      <c r="K296" s="17" t="n">
        <v>0.3333333333333333</v>
      </c>
      <c r="L296" s="17">
        <f>PRODUCT(H296:K296)</f>
        <v>0.0027777777777777775</v>
      </c>
      <c r="M296" s="17">
        <f>G296*L296</f>
        <v>0.02730555555555555</v>
      </c>
      <c r="N296" s="17">
        <f>IF(K296=0,H296*I296,L296)</f>
        <v>0.0027777777777777775</v>
      </c>
      <c r="O296" s="17">
        <f>G296*N296</f>
        <v>0.02730555555555555</v>
      </c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</row>
    <row r="297">
      <c r="A297" s="15" t="inlineStr">
        <is>
          <t>8月</t>
        </is>
      </c>
      <c r="B297" s="15" t="inlineStr">
        <is>
          <t>一、会展客户</t>
        </is>
      </c>
      <c r="C297" s="15" t="inlineStr">
        <is>
          <t>参展商</t>
        </is>
      </c>
      <c r="D297" s="15" t="inlineStr">
        <is>
          <t>配套服务子项</t>
        </is>
      </c>
      <c r="E297" s="15" t="inlineStr">
        <is>
          <t>其中：餐饮服务</t>
        </is>
      </c>
      <c r="F297" s="15" t="inlineStr">
        <is>
          <t>餐饮服务</t>
        </is>
      </c>
      <c r="G297" s="17" t="n">
        <v>9.32</v>
      </c>
      <c r="H297" s="17" t="n">
        <v>0.125</v>
      </c>
      <c r="I297" s="17" t="n">
        <v>0.06666666666666667</v>
      </c>
      <c r="J297" s="17" t="n">
        <v>1</v>
      </c>
      <c r="K297" s="17" t="n">
        <v>0</v>
      </c>
      <c r="L297" s="17">
        <f>PRODUCT(H297:K297)</f>
        <v>0.0</v>
      </c>
      <c r="M297" s="17">
        <f>G297*L297</f>
        <v>0.0</v>
      </c>
      <c r="N297" s="17">
        <f>IF(K297=0,H297*I297,L297)</f>
        <v>0.008333333333333333</v>
      </c>
      <c r="O297" s="17">
        <f>G297*N297</f>
        <v>0.07766666666666666</v>
      </c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</row>
    <row r="298">
      <c r="A298" s="15" t="inlineStr">
        <is>
          <t>8月</t>
        </is>
      </c>
      <c r="B298" s="15" t="inlineStr">
        <is>
          <t>一、会展客户</t>
        </is>
      </c>
      <c r="C298" s="15" t="inlineStr">
        <is>
          <t>专业观众</t>
        </is>
      </c>
      <c r="D298" s="15" t="inlineStr">
        <is>
          <t>专业观众</t>
        </is>
      </c>
      <c r="E298" s="15" t="inlineStr">
        <is>
          <t>会展服务</t>
        </is>
      </c>
      <c r="F298" s="15" t="inlineStr">
        <is>
          <t>产品服务</t>
        </is>
      </c>
      <c r="G298" s="17" t="n">
        <v>10</v>
      </c>
      <c r="H298" s="17" t="n">
        <v>0.125</v>
      </c>
      <c r="I298" s="17" t="n">
        <v>0.06666666666666667</v>
      </c>
      <c r="J298" s="17" t="n">
        <v>1</v>
      </c>
      <c r="K298" s="17" t="n">
        <v>0.3333333333333333</v>
      </c>
      <c r="L298" s="17">
        <f>PRODUCT(H298:K298)</f>
        <v>0.0027777777777777775</v>
      </c>
      <c r="M298" s="17">
        <f>G298*L298</f>
        <v>0.027777777777777776</v>
      </c>
      <c r="N298" s="17">
        <f>IF(K298=0,H298*I298,L298)</f>
        <v>0.0027777777777777775</v>
      </c>
      <c r="O298" s="17">
        <f>G298*N298</f>
        <v>0.027777777777777776</v>
      </c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</row>
    <row r="299">
      <c r="A299" s="15" t="inlineStr">
        <is>
          <t>8月</t>
        </is>
      </c>
      <c r="B299" s="15" t="inlineStr">
        <is>
          <t>一、会展客户</t>
        </is>
      </c>
      <c r="C299" s="15" t="inlineStr">
        <is>
          <t>专业观众</t>
        </is>
      </c>
      <c r="D299" s="15" t="inlineStr">
        <is>
          <t>专业观众</t>
        </is>
      </c>
      <c r="E299" s="15" t="inlineStr">
        <is>
          <t>硬件设施</t>
        </is>
      </c>
      <c r="F299" s="15" t="inlineStr">
        <is>
          <t>硬件设施</t>
        </is>
      </c>
      <c r="G299" s="17" t="n">
        <v>9.550000000000001</v>
      </c>
      <c r="H299" s="17" t="n">
        <v>0.125</v>
      </c>
      <c r="I299" s="17" t="n">
        <v>0.06666666666666667</v>
      </c>
      <c r="J299" s="17" t="n">
        <v>1</v>
      </c>
      <c r="K299" s="17" t="n">
        <v>0.3333333333333333</v>
      </c>
      <c r="L299" s="17">
        <f>PRODUCT(H299:K299)</f>
        <v>0.0027777777777777775</v>
      </c>
      <c r="M299" s="17">
        <f>G299*L299</f>
        <v>0.026527777777777775</v>
      </c>
      <c r="N299" s="17">
        <f>IF(K299=0,H299*I299,L299)</f>
        <v>0.0027777777777777775</v>
      </c>
      <c r="O299" s="17">
        <f>G299*N299</f>
        <v>0.026527777777777775</v>
      </c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</row>
    <row r="300">
      <c r="A300" s="15" t="inlineStr">
        <is>
          <t>8月</t>
        </is>
      </c>
      <c r="B300" s="15" t="inlineStr">
        <is>
          <t>一、会展客户</t>
        </is>
      </c>
      <c r="C300" s="15" t="inlineStr">
        <is>
          <t>专业观众</t>
        </is>
      </c>
      <c r="D300" s="15" t="inlineStr">
        <is>
          <t>专业观众</t>
        </is>
      </c>
      <c r="E300" s="15" t="inlineStr">
        <is>
          <t>配套服务</t>
        </is>
      </c>
      <c r="F300" s="15" t="inlineStr">
        <is>
          <t>配套服务</t>
        </is>
      </c>
      <c r="G300" s="17" t="n">
        <v>9.83</v>
      </c>
      <c r="H300" s="17" t="n">
        <v>0.125</v>
      </c>
      <c r="I300" s="17" t="n">
        <v>0.06666666666666667</v>
      </c>
      <c r="J300" s="17" t="n">
        <v>1</v>
      </c>
      <c r="K300" s="17" t="n">
        <v>0.3333333333333333</v>
      </c>
      <c r="L300" s="17">
        <f>PRODUCT(H300:K300)</f>
        <v>0.0027777777777777775</v>
      </c>
      <c r="M300" s="17">
        <f>G300*L300</f>
        <v>0.02730555555555555</v>
      </c>
      <c r="N300" s="17">
        <f>IF(K300=0,H300*I300,L300)</f>
        <v>0.0027777777777777775</v>
      </c>
      <c r="O300" s="17">
        <f>G300*N300</f>
        <v>0.02730555555555555</v>
      </c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</row>
    <row r="301">
      <c r="A301" s="15" t="inlineStr">
        <is>
          <t>8月</t>
        </is>
      </c>
      <c r="B301" s="15" t="inlineStr">
        <is>
          <t>一、会展客户</t>
        </is>
      </c>
      <c r="C301" s="15" t="inlineStr">
        <is>
          <t>专业观众</t>
        </is>
      </c>
      <c r="D301" s="15" t="inlineStr">
        <is>
          <t>配套服务子项</t>
        </is>
      </c>
      <c r="E301" s="15" t="inlineStr">
        <is>
          <t>其中：餐饮服务</t>
        </is>
      </c>
      <c r="F301" s="15" t="inlineStr">
        <is>
          <t>餐饮服务</t>
        </is>
      </c>
      <c r="G301" s="17" t="n">
        <v>9.5</v>
      </c>
      <c r="H301" s="17" t="n">
        <v>0.125</v>
      </c>
      <c r="I301" s="17" t="n">
        <v>0.06666666666666667</v>
      </c>
      <c r="J301" s="17" t="n">
        <v>1</v>
      </c>
      <c r="K301" s="17" t="n">
        <v>0</v>
      </c>
      <c r="L301" s="17">
        <f>PRODUCT(H301:K301)</f>
        <v>0.0</v>
      </c>
      <c r="M301" s="17">
        <f>G301*L301</f>
        <v>0.0</v>
      </c>
      <c r="N301" s="17">
        <f>IF(K301=0,H301*I301,L301)</f>
        <v>0.008333333333333333</v>
      </c>
      <c r="O301" s="17">
        <f>G301*N301</f>
        <v>0.07916666666666666</v>
      </c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</row>
    <row r="302">
      <c r="A302" s="15" t="inlineStr">
        <is>
          <t>8月</t>
        </is>
      </c>
      <c r="B302" s="15" t="inlineStr">
        <is>
          <t>一、会展客户</t>
        </is>
      </c>
      <c r="C302" s="15" t="inlineStr">
        <is>
          <t>会展服务商</t>
        </is>
      </c>
      <c r="D302" s="15" t="inlineStr">
        <is>
          <t>会展服务商</t>
        </is>
      </c>
      <c r="E302" s="15" t="inlineStr">
        <is>
          <t>会展服务</t>
        </is>
      </c>
      <c r="F302" s="15" t="inlineStr">
        <is>
          <t>产品服务</t>
        </is>
      </c>
      <c r="G302" s="17" t="n">
        <v>9.960000000000001</v>
      </c>
      <c r="H302" s="17" t="n">
        <v>0.125</v>
      </c>
      <c r="I302" s="17" t="n">
        <v>0.06666666666666667</v>
      </c>
      <c r="J302" s="17" t="n">
        <v>1</v>
      </c>
      <c r="K302" s="17" t="n">
        <v>0.25</v>
      </c>
      <c r="L302" s="17">
        <f>PRODUCT(H302:K302)</f>
        <v>0.0020833333333333333</v>
      </c>
      <c r="M302" s="17">
        <f>G302*L302</f>
        <v>0.02075</v>
      </c>
      <c r="N302" s="17">
        <f>IF(K302=0,H302*I302,L302)</f>
        <v>0.0020833333333333333</v>
      </c>
      <c r="O302" s="17">
        <f>G302*N302</f>
        <v>0.02075</v>
      </c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</row>
    <row r="303">
      <c r="A303" s="15" t="inlineStr">
        <is>
          <t>8月</t>
        </is>
      </c>
      <c r="B303" s="15" t="inlineStr">
        <is>
          <t>一、会展客户</t>
        </is>
      </c>
      <c r="C303" s="15" t="inlineStr">
        <is>
          <t>会展服务商</t>
        </is>
      </c>
      <c r="D303" s="15" t="inlineStr">
        <is>
          <t>会展服务商</t>
        </is>
      </c>
      <c r="E303" s="15" t="inlineStr">
        <is>
          <t>硬件设施</t>
        </is>
      </c>
      <c r="F303" s="15" t="inlineStr">
        <is>
          <t>硬件设施</t>
        </is>
      </c>
      <c r="G303" s="17" t="n">
        <v>9.84</v>
      </c>
      <c r="H303" s="17" t="n">
        <v>0.125</v>
      </c>
      <c r="I303" s="17" t="n">
        <v>0.06666666666666667</v>
      </c>
      <c r="J303" s="17" t="n">
        <v>1</v>
      </c>
      <c r="K303" s="17" t="n">
        <v>0.25</v>
      </c>
      <c r="L303" s="17">
        <f>PRODUCT(H303:K303)</f>
        <v>0.0020833333333333333</v>
      </c>
      <c r="M303" s="17">
        <f>G303*L303</f>
        <v>0.0205</v>
      </c>
      <c r="N303" s="17">
        <f>IF(K303=0,H303*I303,L303)</f>
        <v>0.0020833333333333333</v>
      </c>
      <c r="O303" s="17">
        <f>G303*N303</f>
        <v>0.0205</v>
      </c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</row>
    <row r="304">
      <c r="A304" s="15" t="inlineStr">
        <is>
          <t>8月</t>
        </is>
      </c>
      <c r="B304" s="15" t="inlineStr">
        <is>
          <t>一、会展客户</t>
        </is>
      </c>
      <c r="C304" s="15" t="inlineStr">
        <is>
          <t>会展服务商</t>
        </is>
      </c>
      <c r="D304" s="15" t="inlineStr">
        <is>
          <t>会展服务商</t>
        </is>
      </c>
      <c r="E304" s="15" t="inlineStr">
        <is>
          <t>配套服务</t>
        </is>
      </c>
      <c r="F304" s="15" t="inlineStr">
        <is>
          <t>配套服务</t>
        </is>
      </c>
      <c r="G304" s="17" t="n">
        <v>10</v>
      </c>
      <c r="H304" s="17" t="n">
        <v>0.125</v>
      </c>
      <c r="I304" s="17" t="n">
        <v>0.06666666666666667</v>
      </c>
      <c r="J304" s="17" t="n">
        <v>1</v>
      </c>
      <c r="K304" s="17" t="n">
        <v>0.25</v>
      </c>
      <c r="L304" s="17">
        <f>PRODUCT(H304:K304)</f>
        <v>0.0020833333333333333</v>
      </c>
      <c r="M304" s="17">
        <f>G304*L304</f>
        <v>0.020833333333333332</v>
      </c>
      <c r="N304" s="17">
        <f>IF(K304=0,H304*I304,L304)</f>
        <v>0.0020833333333333333</v>
      </c>
      <c r="O304" s="17">
        <f>G304*N304</f>
        <v>0.020833333333333332</v>
      </c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</row>
    <row r="305">
      <c r="A305" s="15" t="inlineStr">
        <is>
          <t>8月</t>
        </is>
      </c>
      <c r="B305" s="15" t="inlineStr">
        <is>
          <t>一、会展客户</t>
        </is>
      </c>
      <c r="C305" s="15" t="inlineStr">
        <is>
          <t>会展服务商</t>
        </is>
      </c>
      <c r="D305" s="15" t="inlineStr">
        <is>
          <t>会展服务商</t>
        </is>
      </c>
      <c r="E305" s="15" t="inlineStr">
        <is>
          <t>智慧场馆</t>
        </is>
      </c>
      <c r="F305" s="15" t="inlineStr">
        <is>
          <t>智慧场馆/服务</t>
        </is>
      </c>
      <c r="G305" s="17" t="n">
        <v>9.67</v>
      </c>
      <c r="H305" s="17" t="n">
        <v>0.125</v>
      </c>
      <c r="I305" s="17" t="n">
        <v>0.06666666666666667</v>
      </c>
      <c r="J305" s="17" t="n">
        <v>1</v>
      </c>
      <c r="K305" s="17" t="n">
        <v>0.25</v>
      </c>
      <c r="L305" s="17">
        <f>PRODUCT(H305:K305)</f>
        <v>0.0020833333333333333</v>
      </c>
      <c r="M305" s="17">
        <f>G305*L305</f>
        <v>0.02014583333333333</v>
      </c>
      <c r="N305" s="17">
        <f>IF(K305=0,H305*I305,L305)</f>
        <v>0.0020833333333333333</v>
      </c>
      <c r="O305" s="17">
        <f>G305*N305</f>
        <v>0.02014583333333333</v>
      </c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</row>
    <row r="306">
      <c r="A306" s="15" t="inlineStr">
        <is>
          <t>8月</t>
        </is>
      </c>
      <c r="B306" s="15" t="inlineStr">
        <is>
          <t>一、会展客户</t>
        </is>
      </c>
      <c r="C306" s="15" t="inlineStr">
        <is>
          <t>会展服务商</t>
        </is>
      </c>
      <c r="D306" s="15" t="inlineStr">
        <is>
          <t>配套服务子项</t>
        </is>
      </c>
      <c r="E306" s="15" t="inlineStr">
        <is>
          <t>其中：餐饮服务</t>
        </is>
      </c>
      <c r="F306" s="15" t="inlineStr">
        <is>
          <t>餐饮服务</t>
        </is>
      </c>
      <c r="G306" s="17" t="n">
        <v>10</v>
      </c>
      <c r="H306" s="17" t="n">
        <v>0.125</v>
      </c>
      <c r="I306" s="17" t="n">
        <v>0.06666666666666667</v>
      </c>
      <c r="J306" s="17" t="n">
        <v>1</v>
      </c>
      <c r="K306" s="17" t="n">
        <v>0</v>
      </c>
      <c r="L306" s="17">
        <f>PRODUCT(H306:K306)</f>
        <v>0.0</v>
      </c>
      <c r="M306" s="17">
        <f>G306*L306</f>
        <v>0.0</v>
      </c>
      <c r="N306" s="17">
        <f>IF(K306=0,H306*I306,L306)</f>
        <v>0.008333333333333333</v>
      </c>
      <c r="O306" s="17">
        <f>G306*N306</f>
        <v>0.08333333333333333</v>
      </c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</row>
    <row r="307">
      <c r="A307" s="15" t="inlineStr">
        <is>
          <t>8月</t>
        </is>
      </c>
      <c r="B307" s="15" t="inlineStr">
        <is>
          <t>一、会展客户</t>
        </is>
      </c>
      <c r="C307" s="15" t="inlineStr">
        <is>
          <t>会议活动主（承）办</t>
        </is>
      </c>
      <c r="D307" s="15" t="inlineStr">
        <is>
          <t>会议主承办</t>
        </is>
      </c>
      <c r="E307" s="15" t="inlineStr">
        <is>
          <t>会展服务</t>
        </is>
      </c>
      <c r="F307" s="15" t="inlineStr">
        <is>
          <t>产品服务</t>
        </is>
      </c>
      <c r="G307" s="17" t="n">
        <v>9.82</v>
      </c>
      <c r="H307" s="17" t="n">
        <v>0.125</v>
      </c>
      <c r="I307" s="17" t="n">
        <v>0.06666666666666667</v>
      </c>
      <c r="J307" s="17" t="n">
        <v>1</v>
      </c>
      <c r="K307" s="17" t="n">
        <v>0.3333333333333333</v>
      </c>
      <c r="L307" s="17">
        <f>PRODUCT(H307:K307)</f>
        <v>0.0027777777777777775</v>
      </c>
      <c r="M307" s="17">
        <f>G307*L307</f>
        <v>0.027277777777777776</v>
      </c>
      <c r="N307" s="17">
        <f>IF(K307=0,H307*I307,L307)</f>
        <v>0.0027777777777777775</v>
      </c>
      <c r="O307" s="17">
        <f>G307*N307</f>
        <v>0.027277777777777776</v>
      </c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</row>
    <row r="308">
      <c r="A308" s="15" t="inlineStr">
        <is>
          <t>8月</t>
        </is>
      </c>
      <c r="B308" s="15" t="inlineStr">
        <is>
          <t>一、会展客户</t>
        </is>
      </c>
      <c r="C308" s="15" t="inlineStr">
        <is>
          <t>会议活动主（承）办</t>
        </is>
      </c>
      <c r="D308" s="15" t="inlineStr">
        <is>
          <t>会议主承办</t>
        </is>
      </c>
      <c r="E308" s="15" t="inlineStr">
        <is>
          <t>硬件设施</t>
        </is>
      </c>
      <c r="F308" s="15" t="inlineStr">
        <is>
          <t>硬件设施</t>
        </is>
      </c>
      <c r="G308" s="17" t="n">
        <v>9.369999999999999</v>
      </c>
      <c r="H308" s="17" t="n">
        <v>0.125</v>
      </c>
      <c r="I308" s="17" t="n">
        <v>0.06666666666666667</v>
      </c>
      <c r="J308" s="17" t="n">
        <v>1</v>
      </c>
      <c r="K308" s="17" t="n">
        <v>0.3333333333333333</v>
      </c>
      <c r="L308" s="17">
        <f>PRODUCT(H308:K308)</f>
        <v>0.0027777777777777775</v>
      </c>
      <c r="M308" s="17">
        <f>G308*L308</f>
        <v>0.02602777777777777</v>
      </c>
      <c r="N308" s="17">
        <f>IF(K308=0,H308*I308,L308)</f>
        <v>0.0027777777777777775</v>
      </c>
      <c r="O308" s="17">
        <f>G308*N308</f>
        <v>0.02602777777777777</v>
      </c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</row>
    <row r="309">
      <c r="A309" s="15" t="inlineStr">
        <is>
          <t>8月</t>
        </is>
      </c>
      <c r="B309" s="15" t="inlineStr">
        <is>
          <t>一、会展客户</t>
        </is>
      </c>
      <c r="C309" s="15" t="inlineStr">
        <is>
          <t>会议活动主（承）办</t>
        </is>
      </c>
      <c r="D309" s="15" t="inlineStr">
        <is>
          <t>会议主承办</t>
        </is>
      </c>
      <c r="E309" s="15" t="inlineStr">
        <is>
          <t>配套服务</t>
        </is>
      </c>
      <c r="F309" s="15" t="inlineStr">
        <is>
          <t>配套服务</t>
        </is>
      </c>
      <c r="G309" s="17" t="n">
        <v>9.5</v>
      </c>
      <c r="H309" s="17" t="n">
        <v>0.125</v>
      </c>
      <c r="I309" s="17" t="n">
        <v>0.06666666666666667</v>
      </c>
      <c r="J309" s="17" t="n">
        <v>1</v>
      </c>
      <c r="K309" s="17" t="n">
        <v>0.3333333333333333</v>
      </c>
      <c r="L309" s="17">
        <f>PRODUCT(H309:K309)</f>
        <v>0.0027777777777777775</v>
      </c>
      <c r="M309" s="17">
        <f>G309*L309</f>
        <v>0.026388888888888885</v>
      </c>
      <c r="N309" s="17">
        <f>IF(K309=0,H309*I309,L309)</f>
        <v>0.0027777777777777775</v>
      </c>
      <c r="O309" s="17">
        <f>G309*N309</f>
        <v>0.026388888888888885</v>
      </c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</row>
    <row r="310">
      <c r="A310" s="15" t="inlineStr">
        <is>
          <t>8月</t>
        </is>
      </c>
      <c r="B310" s="15" t="inlineStr">
        <is>
          <t>一、会展客户</t>
        </is>
      </c>
      <c r="C310" s="15" t="inlineStr">
        <is>
          <t>会议活动主（承）办</t>
        </is>
      </c>
      <c r="D310" s="15" t="inlineStr">
        <is>
          <t>配套服务子项</t>
        </is>
      </c>
      <c r="E310" s="15" t="inlineStr">
        <is>
          <t>其中：餐饮服务</t>
        </is>
      </c>
      <c r="F310" s="15" t="inlineStr">
        <is>
          <t>餐饮服务</t>
        </is>
      </c>
      <c r="G310" s="17" t="n">
        <v>8</v>
      </c>
      <c r="H310" s="17" t="n">
        <v>0.125</v>
      </c>
      <c r="I310" s="17" t="n">
        <v>0.06666666666666667</v>
      </c>
      <c r="J310" s="17" t="n">
        <v>1</v>
      </c>
      <c r="K310" s="17" t="n">
        <v>0</v>
      </c>
      <c r="L310" s="17">
        <f>PRODUCT(H310:K310)</f>
        <v>0.0</v>
      </c>
      <c r="M310" s="17">
        <f>G310*L310</f>
        <v>0.0</v>
      </c>
      <c r="N310" s="17">
        <f>IF(K310=0,H310*I310,L310)</f>
        <v>0.008333333333333333</v>
      </c>
      <c r="O310" s="17">
        <f>G310*N310</f>
        <v>0.06666666666666667</v>
      </c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</row>
    <row r="311">
      <c r="A311" s="15" t="inlineStr">
        <is>
          <t>8月</t>
        </is>
      </c>
      <c r="B311" s="15" t="inlineStr">
        <is>
          <t>一、会展客户</t>
        </is>
      </c>
      <c r="C311" s="15" t="inlineStr">
        <is>
          <t>参会客户</t>
        </is>
      </c>
      <c r="D311" s="15" t="inlineStr">
        <is>
          <t>参会人员</t>
        </is>
      </c>
      <c r="E311" s="15" t="inlineStr">
        <is>
          <t>会展服务</t>
        </is>
      </c>
      <c r="F311" s="15" t="inlineStr">
        <is>
          <t>产品服务</t>
        </is>
      </c>
      <c r="G311" s="17" t="n">
        <v>10</v>
      </c>
      <c r="H311" s="17" t="n">
        <v>0.125</v>
      </c>
      <c r="I311" s="17" t="n">
        <v>0.06666666666666667</v>
      </c>
      <c r="J311" s="17" t="n">
        <v>1</v>
      </c>
      <c r="K311" s="17" t="n">
        <v>0.3333333333333333</v>
      </c>
      <c r="L311" s="17">
        <f>PRODUCT(H311:K311)</f>
        <v>0.0027777777777777775</v>
      </c>
      <c r="M311" s="17">
        <f>G311*L311</f>
        <v>0.027777777777777776</v>
      </c>
      <c r="N311" s="17">
        <f>IF(K311=0,H311*I311,L311)</f>
        <v>0.0027777777777777775</v>
      </c>
      <c r="O311" s="17">
        <f>G311*N311</f>
        <v>0.027777777777777776</v>
      </c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</row>
    <row r="312">
      <c r="A312" s="15" t="inlineStr">
        <is>
          <t>8月</t>
        </is>
      </c>
      <c r="B312" s="15" t="inlineStr">
        <is>
          <t>一、会展客户</t>
        </is>
      </c>
      <c r="C312" s="15" t="inlineStr">
        <is>
          <t>参会客户</t>
        </is>
      </c>
      <c r="D312" s="15" t="inlineStr">
        <is>
          <t>参会人员</t>
        </is>
      </c>
      <c r="E312" s="15" t="inlineStr">
        <is>
          <t>硬件设施</t>
        </is>
      </c>
      <c r="F312" s="15" t="inlineStr">
        <is>
          <t>硬件设施</t>
        </is>
      </c>
      <c r="G312" s="17" t="n">
        <v>9.640000000000001</v>
      </c>
      <c r="H312" s="17" t="n">
        <v>0.125</v>
      </c>
      <c r="I312" s="17" t="n">
        <v>0.06666666666666667</v>
      </c>
      <c r="J312" s="17" t="n">
        <v>1</v>
      </c>
      <c r="K312" s="17" t="n">
        <v>0.3333333333333333</v>
      </c>
      <c r="L312" s="17">
        <f>PRODUCT(H312:K312)</f>
        <v>0.0027777777777777775</v>
      </c>
      <c r="M312" s="17">
        <f>G312*L312</f>
        <v>0.026777777777777775</v>
      </c>
      <c r="N312" s="17">
        <f>IF(K312=0,H312*I312,L312)</f>
        <v>0.0027777777777777775</v>
      </c>
      <c r="O312" s="17">
        <f>G312*N312</f>
        <v>0.026777777777777775</v>
      </c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</row>
    <row r="313">
      <c r="A313" s="15" t="inlineStr">
        <is>
          <t>8月</t>
        </is>
      </c>
      <c r="B313" s="15" t="inlineStr">
        <is>
          <t>一、会展客户</t>
        </is>
      </c>
      <c r="C313" s="15" t="inlineStr">
        <is>
          <t>参会客户</t>
        </is>
      </c>
      <c r="D313" s="15" t="inlineStr">
        <is>
          <t>参会人员</t>
        </is>
      </c>
      <c r="E313" s="15" t="inlineStr">
        <is>
          <t>配套服务</t>
        </is>
      </c>
      <c r="F313" s="15" t="inlineStr">
        <is>
          <t>配套服务</t>
        </is>
      </c>
      <c r="G313" s="17" t="n">
        <v>9.85</v>
      </c>
      <c r="H313" s="17" t="n">
        <v>0.125</v>
      </c>
      <c r="I313" s="17" t="n">
        <v>0.06666666666666667</v>
      </c>
      <c r="J313" s="17" t="n">
        <v>1</v>
      </c>
      <c r="K313" s="17" t="n">
        <v>0.3333333333333333</v>
      </c>
      <c r="L313" s="17">
        <f>PRODUCT(H313:K313)</f>
        <v>0.0027777777777777775</v>
      </c>
      <c r="M313" s="17">
        <f>G313*L313</f>
        <v>0.027361111111111107</v>
      </c>
      <c r="N313" s="17">
        <f>IF(K313=0,H313*I313,L313)</f>
        <v>0.0027777777777777775</v>
      </c>
      <c r="O313" s="17">
        <f>G313*N313</f>
        <v>0.027361111111111107</v>
      </c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</row>
    <row r="314">
      <c r="A314" s="15" t="inlineStr">
        <is>
          <t>8月</t>
        </is>
      </c>
      <c r="B314" s="15" t="inlineStr">
        <is>
          <t>一、会展客户</t>
        </is>
      </c>
      <c r="C314" s="15" t="inlineStr">
        <is>
          <t>参会客户</t>
        </is>
      </c>
      <c r="D314" s="15" t="inlineStr">
        <is>
          <t>配套服务子项</t>
        </is>
      </c>
      <c r="E314" s="15" t="inlineStr">
        <is>
          <t>其中：餐饮服务</t>
        </is>
      </c>
      <c r="F314" s="15" t="inlineStr">
        <is>
          <t>餐饮服务</t>
        </is>
      </c>
      <c r="G314" s="17" t="n">
        <v>9.539999999999999</v>
      </c>
      <c r="H314" s="17" t="n">
        <v>0.125</v>
      </c>
      <c r="I314" s="17" t="n">
        <v>0.06666666666666667</v>
      </c>
      <c r="J314" s="17" t="n">
        <v>1</v>
      </c>
      <c r="K314" s="17" t="n">
        <v>0</v>
      </c>
      <c r="L314" s="17">
        <f>PRODUCT(H314:K314)</f>
        <v>0.0</v>
      </c>
      <c r="M314" s="17">
        <f>G314*L314</f>
        <v>0.0</v>
      </c>
      <c r="N314" s="17">
        <f>IF(K314=0,H314*I314,L314)</f>
        <v>0.008333333333333333</v>
      </c>
      <c r="O314" s="17">
        <f>G314*N314</f>
        <v>0.07949999999999999</v>
      </c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</row>
    <row r="315">
      <c r="A315" s="15" t="inlineStr">
        <is>
          <t>8月</t>
        </is>
      </c>
      <c r="B315" s="15" t="inlineStr">
        <is>
          <t>二、餐饮客户</t>
        </is>
      </c>
      <c r="C315" s="15" t="inlineStr">
        <is>
          <t>商务简餐</t>
        </is>
      </c>
      <c r="D315" s="15" t="inlineStr">
        <is>
          <t>商务简餐</t>
        </is>
      </c>
      <c r="E315" s="15" t="inlineStr">
        <is>
          <t>餐饮服务</t>
        </is>
      </c>
      <c r="F315" s="15" t="inlineStr">
        <is>
          <t>餐饮服务</t>
        </is>
      </c>
      <c r="G315" s="17" t="n">
        <v>9.949999999999999</v>
      </c>
      <c r="H315" s="17" t="n">
        <v>0.125</v>
      </c>
      <c r="I315" s="17" t="n">
        <v>0.06666666666666667</v>
      </c>
      <c r="J315" s="17" t="n">
        <v>1</v>
      </c>
      <c r="K315" s="17" t="n">
        <v>0.5</v>
      </c>
      <c r="L315" s="17">
        <f>PRODUCT(H315:K315)</f>
        <v>0.004166666666666667</v>
      </c>
      <c r="M315" s="17">
        <f>G315*L315</f>
        <v>0.04145833333333333</v>
      </c>
      <c r="N315" s="17">
        <f>IF(K315=0,H315*I315,L315)</f>
        <v>0.004166666666666667</v>
      </c>
      <c r="O315" s="17">
        <f>G315*N315</f>
        <v>0.04145833333333333</v>
      </c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</row>
    <row r="316">
      <c r="A316" s="15" t="inlineStr">
        <is>
          <t>8月</t>
        </is>
      </c>
      <c r="B316" s="15" t="inlineStr">
        <is>
          <t>二、餐饮客户</t>
        </is>
      </c>
      <c r="C316" s="15" t="inlineStr">
        <is>
          <t>商务简餐</t>
        </is>
      </c>
      <c r="D316" s="15" t="inlineStr">
        <is>
          <t>商务简餐</t>
        </is>
      </c>
      <c r="E316" s="15" t="inlineStr">
        <is>
          <t>硬件设施</t>
        </is>
      </c>
      <c r="F316" s="15" t="inlineStr">
        <is>
          <t>硬件设施</t>
        </is>
      </c>
      <c r="G316" s="17" t="n">
        <v>9.57</v>
      </c>
      <c r="H316" s="17" t="n">
        <v>0.125</v>
      </c>
      <c r="I316" s="17" t="n">
        <v>0.06666666666666667</v>
      </c>
      <c r="J316" s="17" t="n">
        <v>1</v>
      </c>
      <c r="K316" s="17" t="n">
        <v>0.5</v>
      </c>
      <c r="L316" s="17">
        <f>PRODUCT(H316:K316)</f>
        <v>0.004166666666666667</v>
      </c>
      <c r="M316" s="17">
        <f>G316*L316</f>
        <v>0.039875</v>
      </c>
      <c r="N316" s="17">
        <f>IF(K316=0,H316*I316,L316)</f>
        <v>0.004166666666666667</v>
      </c>
      <c r="O316" s="17">
        <f>G316*N316</f>
        <v>0.039875</v>
      </c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</row>
    <row r="317">
      <c r="A317" s="15" t="inlineStr">
        <is>
          <t>8月</t>
        </is>
      </c>
      <c r="B317" s="15" t="inlineStr">
        <is>
          <t>二、餐饮客户</t>
        </is>
      </c>
      <c r="C317" s="15" t="inlineStr">
        <is>
          <t>特色美食廊</t>
        </is>
      </c>
      <c r="D317" s="15" t="inlineStr">
        <is>
          <t>特色美食廊</t>
        </is>
      </c>
      <c r="E317" s="15" t="inlineStr">
        <is>
          <t>餐饮服务</t>
        </is>
      </c>
      <c r="F317" s="15" t="inlineStr">
        <is>
          <t>餐饮服务</t>
        </is>
      </c>
      <c r="G317" s="17" t="n">
        <v>9.73</v>
      </c>
      <c r="H317" s="17" t="n">
        <v>0.125</v>
      </c>
      <c r="I317" s="17" t="n">
        <v>0.06666666666666667</v>
      </c>
      <c r="J317" s="17" t="n">
        <v>1</v>
      </c>
      <c r="K317" s="17" t="n">
        <v>0.5</v>
      </c>
      <c r="L317" s="17">
        <f>PRODUCT(H317:K317)</f>
        <v>0.004166666666666667</v>
      </c>
      <c r="M317" s="17">
        <f>G317*L317</f>
        <v>0.04054166666666667</v>
      </c>
      <c r="N317" s="17">
        <f>IF(K317=0,H317*I317,L317)</f>
        <v>0.004166666666666667</v>
      </c>
      <c r="O317" s="17">
        <f>G317*N317</f>
        <v>0.04054166666666667</v>
      </c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</row>
    <row r="318">
      <c r="A318" s="15" t="inlineStr">
        <is>
          <t>8月</t>
        </is>
      </c>
      <c r="B318" s="15" t="inlineStr">
        <is>
          <t>二、餐饮客户</t>
        </is>
      </c>
      <c r="C318" s="15" t="inlineStr">
        <is>
          <t>特色美食廊</t>
        </is>
      </c>
      <c r="D318" s="15" t="inlineStr">
        <is>
          <t>特色美食廊</t>
        </is>
      </c>
      <c r="E318" s="15" t="inlineStr">
        <is>
          <t>硬件设施</t>
        </is>
      </c>
      <c r="F318" s="15" t="inlineStr">
        <is>
          <t>硬件设施</t>
        </is>
      </c>
      <c r="G318" s="17" t="n">
        <v>9.619999999999999</v>
      </c>
      <c r="H318" s="17" t="n">
        <v>0.125</v>
      </c>
      <c r="I318" s="17" t="n">
        <v>0.06666666666666667</v>
      </c>
      <c r="J318" s="17" t="n">
        <v>1</v>
      </c>
      <c r="K318" s="17" t="n">
        <v>0.5</v>
      </c>
      <c r="L318" s="17">
        <f>PRODUCT(H318:K318)</f>
        <v>0.004166666666666667</v>
      </c>
      <c r="M318" s="17">
        <f>G318*L318</f>
        <v>0.04008333333333333</v>
      </c>
      <c r="N318" s="17">
        <f>IF(K318=0,H318*I318,L318)</f>
        <v>0.004166666666666667</v>
      </c>
      <c r="O318" s="17">
        <f>G318*N318</f>
        <v>0.04008333333333333</v>
      </c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</row>
    <row r="319">
      <c r="A319" s="15" t="inlineStr">
        <is>
          <t>8月</t>
        </is>
      </c>
      <c r="B319" s="15" t="inlineStr">
        <is>
          <t>二、餐饮客户</t>
        </is>
      </c>
      <c r="C319" s="15" t="inlineStr">
        <is>
          <t>自助餐</t>
        </is>
      </c>
      <c r="D319" s="15" t="inlineStr">
        <is>
          <t>自助餐</t>
        </is>
      </c>
      <c r="E319" s="15" t="inlineStr">
        <is>
          <t>餐饮服务</t>
        </is>
      </c>
      <c r="F319" s="15" t="inlineStr">
        <is>
          <t>餐饮服务</t>
        </is>
      </c>
      <c r="G319" s="17" t="n">
        <v>10</v>
      </c>
      <c r="H319" s="17" t="n">
        <v>0.125</v>
      </c>
      <c r="I319" s="17" t="n">
        <v>0.06666666666666667</v>
      </c>
      <c r="J319" s="17" t="n">
        <v>1</v>
      </c>
      <c r="K319" s="17" t="n">
        <v>0.5</v>
      </c>
      <c r="L319" s="17">
        <f>PRODUCT(H319:K319)</f>
        <v>0.004166666666666667</v>
      </c>
      <c r="M319" s="17">
        <f>G319*L319</f>
        <v>0.041666666666666664</v>
      </c>
      <c r="N319" s="17">
        <f>IF(K319=0,H319*I319,L319)</f>
        <v>0.004166666666666667</v>
      </c>
      <c r="O319" s="17">
        <f>G319*N319</f>
        <v>0.041666666666666664</v>
      </c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</row>
    <row r="320">
      <c r="A320" s="15" t="inlineStr">
        <is>
          <t>8月</t>
        </is>
      </c>
      <c r="B320" s="15" t="inlineStr">
        <is>
          <t>二、餐饮客户</t>
        </is>
      </c>
      <c r="C320" s="15" t="inlineStr">
        <is>
          <t>自助餐</t>
        </is>
      </c>
      <c r="D320" s="15" t="inlineStr">
        <is>
          <t>自助餐</t>
        </is>
      </c>
      <c r="E320" s="15" t="inlineStr">
        <is>
          <t>硬件设施</t>
        </is>
      </c>
      <c r="F320" s="15" t="inlineStr">
        <is>
          <t>硬件设施</t>
        </is>
      </c>
      <c r="G320" s="17" t="n">
        <v>8.17</v>
      </c>
      <c r="H320" s="17" t="n">
        <v>0.125</v>
      </c>
      <c r="I320" s="17" t="n">
        <v>0.06666666666666667</v>
      </c>
      <c r="J320" s="17" t="n">
        <v>1</v>
      </c>
      <c r="K320" s="17" t="n">
        <v>0.5</v>
      </c>
      <c r="L320" s="17">
        <f>PRODUCT(H320:K320)</f>
        <v>0.004166666666666667</v>
      </c>
      <c r="M320" s="17">
        <f>G320*L320</f>
        <v>0.034041666666666665</v>
      </c>
      <c r="N320" s="17">
        <f>IF(K320=0,H320*I320,L320)</f>
        <v>0.004166666666666667</v>
      </c>
      <c r="O320" s="17">
        <f>G320*N320</f>
        <v>0.034041666666666665</v>
      </c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</row>
    <row r="321">
      <c r="A321" s="15" t="inlineStr">
        <is>
          <t>8月</t>
        </is>
      </c>
      <c r="B321" s="15" t="inlineStr">
        <is>
          <t>三、G20峰会体验馆</t>
        </is>
      </c>
      <c r="C321" s="15" t="inlineStr">
        <is>
          <t>游客</t>
        </is>
      </c>
      <c r="D321" s="15" t="inlineStr">
        <is>
          <t>游客</t>
        </is>
      </c>
      <c r="E321" s="15" t="inlineStr">
        <is>
          <t>旅游服务</t>
        </is>
      </c>
      <c r="F321" s="15" t="inlineStr">
        <is>
          <t>产品服务</t>
        </is>
      </c>
      <c r="G321" s="17" t="n">
        <v>9.949999999999999</v>
      </c>
      <c r="H321" s="17" t="n">
        <v>0.125</v>
      </c>
      <c r="I321" s="17" t="n">
        <v>0.06666666666666667</v>
      </c>
      <c r="J321" s="17" t="n">
        <v>1</v>
      </c>
      <c r="K321" s="17" t="n">
        <v>0.5</v>
      </c>
      <c r="L321" s="17">
        <f>PRODUCT(H321:K321)</f>
        <v>0.004166666666666667</v>
      </c>
      <c r="M321" s="17">
        <f>G321*L321</f>
        <v>0.04145833333333333</v>
      </c>
      <c r="N321" s="17">
        <f>IF(K321=0,H321*I321,L321)</f>
        <v>0.004166666666666667</v>
      </c>
      <c r="O321" s="17">
        <f>G321*N321</f>
        <v>0.04145833333333333</v>
      </c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</row>
    <row r="322">
      <c r="A322" s="15" t="inlineStr">
        <is>
          <t>8月</t>
        </is>
      </c>
      <c r="B322" s="15" t="inlineStr">
        <is>
          <t>三、G20峰会体验馆</t>
        </is>
      </c>
      <c r="C322" s="15" t="inlineStr">
        <is>
          <t>游客</t>
        </is>
      </c>
      <c r="D322" s="15" t="inlineStr">
        <is>
          <t>游客</t>
        </is>
      </c>
      <c r="E322" s="15" t="inlineStr">
        <is>
          <t>硬件设施</t>
        </is>
      </c>
      <c r="F322" s="15" t="inlineStr">
        <is>
          <t>硬件设施</t>
        </is>
      </c>
      <c r="G322" s="17" t="n">
        <v>10</v>
      </c>
      <c r="H322" s="17" t="n">
        <v>0.125</v>
      </c>
      <c r="I322" s="17" t="n">
        <v>0.06666666666666667</v>
      </c>
      <c r="J322" s="17" t="n">
        <v>1</v>
      </c>
      <c r="K322" s="17" t="n">
        <v>0.5</v>
      </c>
      <c r="L322" s="17">
        <f>PRODUCT(H322:K322)</f>
        <v>0.004166666666666667</v>
      </c>
      <c r="M322" s="17">
        <f>G322*L322</f>
        <v>0.041666666666666664</v>
      </c>
      <c r="N322" s="17">
        <f>IF(K322=0,H322*I322,L322)</f>
        <v>0.004166666666666667</v>
      </c>
      <c r="O322" s="17">
        <f>G322*N322</f>
        <v>0.041666666666666664</v>
      </c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</row>
    <row r="323">
      <c r="A323" s="15" t="inlineStr">
        <is>
          <t>8月</t>
        </is>
      </c>
      <c r="B323" s="15" t="inlineStr">
        <is>
          <t>三、G20峰会体验馆</t>
        </is>
      </c>
      <c r="C323" s="15" t="inlineStr">
        <is>
          <t>旅行社工作人员</t>
        </is>
      </c>
      <c r="D323" s="15" t="inlineStr">
        <is>
          <t>旅行社工作人员</t>
        </is>
      </c>
      <c r="E323" s="15" t="inlineStr">
        <is>
          <t>旅游服务</t>
        </is>
      </c>
      <c r="F323" s="15" t="inlineStr">
        <is>
          <t>产品服务</t>
        </is>
      </c>
      <c r="G323" s="17" t="n">
        <v>10</v>
      </c>
      <c r="H323" s="17" t="n">
        <v>0.125</v>
      </c>
      <c r="I323" s="17" t="n">
        <v>0.06666666666666667</v>
      </c>
      <c r="J323" s="17" t="n">
        <v>1</v>
      </c>
      <c r="K323" s="17" t="n">
        <v>0.5</v>
      </c>
      <c r="L323" s="17">
        <f>PRODUCT(H323:K323)</f>
        <v>0.004166666666666667</v>
      </c>
      <c r="M323" s="17">
        <f>G323*L323</f>
        <v>0.041666666666666664</v>
      </c>
      <c r="N323" s="17">
        <f>IF(K323=0,H323*I323,L323)</f>
        <v>0.004166666666666667</v>
      </c>
      <c r="O323" s="17">
        <f>G323*N323</f>
        <v>0.041666666666666664</v>
      </c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</row>
    <row r="324">
      <c r="A324" s="15" t="inlineStr">
        <is>
          <t>8月</t>
        </is>
      </c>
      <c r="B324" s="15" t="inlineStr">
        <is>
          <t>三、G20峰会体验馆</t>
        </is>
      </c>
      <c r="C324" s="15" t="inlineStr">
        <is>
          <t>旅行社工作人员</t>
        </is>
      </c>
      <c r="D324" s="15" t="inlineStr">
        <is>
          <t>旅行社工作人员</t>
        </is>
      </c>
      <c r="E324" s="15" t="inlineStr">
        <is>
          <t>硬件设施</t>
        </is>
      </c>
      <c r="F324" s="15" t="inlineStr">
        <is>
          <t>硬件设施</t>
        </is>
      </c>
      <c r="G324" s="17" t="n">
        <v>10</v>
      </c>
      <c r="H324" s="17" t="n">
        <v>0.125</v>
      </c>
      <c r="I324" s="17" t="n">
        <v>0.06666666666666667</v>
      </c>
      <c r="J324" s="17" t="n">
        <v>1</v>
      </c>
      <c r="K324" s="17" t="n">
        <v>0.5</v>
      </c>
      <c r="L324" s="17">
        <f>PRODUCT(H324:K324)</f>
        <v>0.004166666666666667</v>
      </c>
      <c r="M324" s="17">
        <f>G324*L324</f>
        <v>0.041666666666666664</v>
      </c>
      <c r="N324" s="17">
        <f>IF(K324=0,H324*I324,L324)</f>
        <v>0.004166666666666667</v>
      </c>
      <c r="O324" s="17">
        <f>G324*N324</f>
        <v>0.041666666666666664</v>
      </c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</row>
    <row r="325">
      <c r="A325" s="15" t="inlineStr">
        <is>
          <t>8月</t>
        </is>
      </c>
      <c r="B325" s="15" t="inlineStr">
        <is>
          <t>五、酒店客户</t>
        </is>
      </c>
      <c r="C325" s="15" t="inlineStr">
        <is>
          <t>酒店散客</t>
        </is>
      </c>
      <c r="D325" s="15" t="inlineStr">
        <is>
          <t>散客</t>
        </is>
      </c>
      <c r="E325" s="15" t="inlineStr">
        <is>
          <t>硬件设施</t>
        </is>
      </c>
      <c r="F325" s="15" t="inlineStr">
        <is>
          <t>硬件设施</t>
        </is>
      </c>
      <c r="G325" s="17" t="n">
        <v>9.83</v>
      </c>
      <c r="H325" s="17" t="n">
        <v>0.125</v>
      </c>
      <c r="I325" s="17" t="n">
        <v>0.06666666666666667</v>
      </c>
      <c r="J325" s="17" t="n">
        <v>1</v>
      </c>
      <c r="K325" s="17" t="n">
        <v>0.3333333333333333</v>
      </c>
      <c r="L325" s="17">
        <f>PRODUCT(H325:K325)</f>
        <v>0.0027777777777777775</v>
      </c>
      <c r="M325" s="17">
        <f>G325*L325</f>
        <v>0.02730555555555555</v>
      </c>
      <c r="N325" s="17">
        <f>IF(K325=0,H325*I325,L325)</f>
        <v>0.0027777777777777775</v>
      </c>
      <c r="O325" s="17">
        <f>G325*N325</f>
        <v>0.02730555555555555</v>
      </c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</row>
    <row r="326">
      <c r="A326" s="15" t="inlineStr">
        <is>
          <t>8月</t>
        </is>
      </c>
      <c r="B326" s="15" t="inlineStr">
        <is>
          <t>五、酒店客户</t>
        </is>
      </c>
      <c r="C326" s="15" t="inlineStr">
        <is>
          <t>酒店散客</t>
        </is>
      </c>
      <c r="D326" s="15" t="inlineStr">
        <is>
          <t>散客</t>
        </is>
      </c>
      <c r="E326" s="15" t="inlineStr">
        <is>
          <t>入住服务</t>
        </is>
      </c>
      <c r="F326" s="15" t="inlineStr">
        <is>
          <t>产品服务</t>
        </is>
      </c>
      <c r="G326" s="17" t="n">
        <v>9.98</v>
      </c>
      <c r="H326" s="17" t="n">
        <v>0.125</v>
      </c>
      <c r="I326" s="17" t="n">
        <v>0.06666666666666667</v>
      </c>
      <c r="J326" s="17" t="n">
        <v>1</v>
      </c>
      <c r="K326" s="17" t="n">
        <v>0.3333333333333333</v>
      </c>
      <c r="L326" s="17">
        <f>PRODUCT(H326:K326)</f>
        <v>0.0027777777777777775</v>
      </c>
      <c r="M326" s="17">
        <f>G326*L326</f>
        <v>0.02772222222222222</v>
      </c>
      <c r="N326" s="17">
        <f>IF(K326=0,H326*I326,L326)</f>
        <v>0.0027777777777777775</v>
      </c>
      <c r="O326" s="17">
        <f>G326*N326</f>
        <v>0.02772222222222222</v>
      </c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</row>
    <row r="327">
      <c r="A327" s="15" t="inlineStr">
        <is>
          <t>8月</t>
        </is>
      </c>
      <c r="B327" s="15" t="inlineStr">
        <is>
          <t>五、酒店客户</t>
        </is>
      </c>
      <c r="C327" s="15" t="inlineStr">
        <is>
          <t>酒店散客</t>
        </is>
      </c>
      <c r="D327" s="15" t="inlineStr">
        <is>
          <t>散客</t>
        </is>
      </c>
      <c r="E327" s="15" t="inlineStr">
        <is>
          <t>餐饮服务</t>
        </is>
      </c>
      <c r="F327" s="15" t="inlineStr">
        <is>
          <t>餐饮服务</t>
        </is>
      </c>
      <c r="G327" s="17" t="n">
        <v>9.91</v>
      </c>
      <c r="H327" s="17" t="n">
        <v>0.125</v>
      </c>
      <c r="I327" s="17" t="n">
        <v>0.06666666666666667</v>
      </c>
      <c r="J327" s="17" t="n">
        <v>1</v>
      </c>
      <c r="K327" s="17" t="n">
        <v>0.3333333333333333</v>
      </c>
      <c r="L327" s="17">
        <f>PRODUCT(H327:K327)</f>
        <v>0.0027777777777777775</v>
      </c>
      <c r="M327" s="17">
        <f>G327*L327</f>
        <v>0.027527777777777776</v>
      </c>
      <c r="N327" s="17">
        <f>IF(K327=0,H327*I327,L327)</f>
        <v>0.0027777777777777775</v>
      </c>
      <c r="O327" s="17">
        <f>G327*N327</f>
        <v>0.027527777777777776</v>
      </c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</row>
    <row r="328">
      <c r="A328" s="15" t="inlineStr">
        <is>
          <t>8月</t>
        </is>
      </c>
      <c r="B328" s="15" t="inlineStr">
        <is>
          <t>五、酒店客户</t>
        </is>
      </c>
      <c r="C328" s="15" t="inlineStr">
        <is>
          <t>酒店住宿团队</t>
        </is>
      </c>
      <c r="D328" s="15" t="inlineStr">
        <is>
          <t>住宿团队</t>
        </is>
      </c>
      <c r="E328" s="15" t="inlineStr">
        <is>
          <t>硬件设施</t>
        </is>
      </c>
      <c r="F328" s="15" t="inlineStr">
        <is>
          <t>硬件设施</t>
        </is>
      </c>
      <c r="G328" s="17" t="n">
        <v>9.710000000000001</v>
      </c>
      <c r="H328" s="17" t="n">
        <v>0.125</v>
      </c>
      <c r="I328" s="17" t="n">
        <v>0.06666666666666667</v>
      </c>
      <c r="J328" s="17" t="n">
        <v>1</v>
      </c>
      <c r="K328" s="17" t="n">
        <v>0.3333333333333333</v>
      </c>
      <c r="L328" s="17">
        <f>PRODUCT(H328:K328)</f>
        <v>0.0027777777777777775</v>
      </c>
      <c r="M328" s="17">
        <f>G328*L328</f>
        <v>0.02697222222222222</v>
      </c>
      <c r="N328" s="17">
        <f>IF(K328=0,H328*I328,L328)</f>
        <v>0.0027777777777777775</v>
      </c>
      <c r="O328" s="17">
        <f>G328*N328</f>
        <v>0.02697222222222222</v>
      </c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</row>
    <row r="329">
      <c r="A329" s="15" t="inlineStr">
        <is>
          <t>8月</t>
        </is>
      </c>
      <c r="B329" s="15" t="inlineStr">
        <is>
          <t>五、酒店客户</t>
        </is>
      </c>
      <c r="C329" s="15" t="inlineStr">
        <is>
          <t>酒店住宿团队</t>
        </is>
      </c>
      <c r="D329" s="15" t="inlineStr">
        <is>
          <t>住宿团队</t>
        </is>
      </c>
      <c r="E329" s="15" t="inlineStr">
        <is>
          <t>入住服务</t>
        </is>
      </c>
      <c r="F329" s="15" t="inlineStr">
        <is>
          <t>产品服务</t>
        </is>
      </c>
      <c r="G329" s="17" t="n">
        <v>10</v>
      </c>
      <c r="H329" s="17" t="n">
        <v>0.125</v>
      </c>
      <c r="I329" s="17" t="n">
        <v>0.06666666666666667</v>
      </c>
      <c r="J329" s="17" t="n">
        <v>1</v>
      </c>
      <c r="K329" s="17" t="n">
        <v>0.3333333333333333</v>
      </c>
      <c r="L329" s="17">
        <f>PRODUCT(H329:K329)</f>
        <v>0.0027777777777777775</v>
      </c>
      <c r="M329" s="17">
        <f>G329*L329</f>
        <v>0.027777777777777776</v>
      </c>
      <c r="N329" s="17">
        <f>IF(K329=0,H329*I329,L329)</f>
        <v>0.0027777777777777775</v>
      </c>
      <c r="O329" s="17">
        <f>G329*N329</f>
        <v>0.027777777777777776</v>
      </c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</row>
    <row r="330">
      <c r="A330" s="15" t="inlineStr">
        <is>
          <t>8月</t>
        </is>
      </c>
      <c r="B330" s="15" t="inlineStr">
        <is>
          <t>五、酒店客户</t>
        </is>
      </c>
      <c r="C330" s="15" t="inlineStr">
        <is>
          <t>酒店住宿团队</t>
        </is>
      </c>
      <c r="D330" s="15" t="inlineStr">
        <is>
          <t>住宿团队</t>
        </is>
      </c>
      <c r="E330" s="15" t="inlineStr">
        <is>
          <t>餐饮服务</t>
        </is>
      </c>
      <c r="F330" s="15" t="inlineStr">
        <is>
          <t>餐饮服务</t>
        </is>
      </c>
      <c r="G330" s="17" t="n">
        <v>9</v>
      </c>
      <c r="H330" s="17" t="n">
        <v>0.125</v>
      </c>
      <c r="I330" s="17" t="n">
        <v>0.06666666666666667</v>
      </c>
      <c r="J330" s="17" t="n">
        <v>1</v>
      </c>
      <c r="K330" s="17" t="n">
        <v>0.3333333333333333</v>
      </c>
      <c r="L330" s="17">
        <f>PRODUCT(H330:K330)</f>
        <v>0.0027777777777777775</v>
      </c>
      <c r="M330" s="17">
        <f>G330*L330</f>
        <v>0.024999999999999998</v>
      </c>
      <c r="N330" s="17">
        <f>IF(K330=0,H330*I330,L330)</f>
        <v>0.0027777777777777775</v>
      </c>
      <c r="O330" s="17">
        <f>G330*N330</f>
        <v>0.024999999999999998</v>
      </c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</row>
    <row r="331">
      <c r="A331" s="15" t="inlineStr">
        <is>
          <t>8月</t>
        </is>
      </c>
      <c r="B331" s="15" t="inlineStr">
        <is>
          <t>五、酒店客户</t>
        </is>
      </c>
      <c r="C331" s="15" t="inlineStr">
        <is>
          <t>酒店参会客户</t>
        </is>
      </c>
      <c r="D331" s="15" t="inlineStr">
        <is>
          <t>酒店参会客户</t>
        </is>
      </c>
      <c r="E331" s="15" t="inlineStr">
        <is>
          <t>会展服务</t>
        </is>
      </c>
      <c r="F331" s="15" t="inlineStr">
        <is>
          <t>产品服务</t>
        </is>
      </c>
      <c r="G331" s="17" t="n">
        <v>10</v>
      </c>
      <c r="H331" s="17" t="n">
        <v>0.125</v>
      </c>
      <c r="I331" s="17" t="n">
        <v>0.06666666666666667</v>
      </c>
      <c r="J331" s="17" t="n">
        <v>1</v>
      </c>
      <c r="K331" s="17" t="n">
        <v>0.3333333333333333</v>
      </c>
      <c r="L331" s="17">
        <f>PRODUCT(H331:K331)</f>
        <v>0.0027777777777777775</v>
      </c>
      <c r="M331" s="17">
        <f>G331*L331</f>
        <v>0.027777777777777776</v>
      </c>
      <c r="N331" s="17">
        <f>IF(K331=0,H331*I331,L331)</f>
        <v>0.0027777777777777775</v>
      </c>
      <c r="O331" s="17">
        <f>G331*N331</f>
        <v>0.027777777777777776</v>
      </c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</row>
    <row r="332">
      <c r="A332" s="15" t="inlineStr">
        <is>
          <t>8月</t>
        </is>
      </c>
      <c r="B332" s="15" t="inlineStr">
        <is>
          <t>五、酒店客户</t>
        </is>
      </c>
      <c r="C332" s="15" t="inlineStr">
        <is>
          <t>酒店参会客户</t>
        </is>
      </c>
      <c r="D332" s="15" t="inlineStr">
        <is>
          <t>酒店参会客户</t>
        </is>
      </c>
      <c r="E332" s="15" t="inlineStr">
        <is>
          <t>硬件设施</t>
        </is>
      </c>
      <c r="F332" s="15" t="inlineStr">
        <is>
          <t>硬件设施</t>
        </is>
      </c>
      <c r="G332" s="17" t="n">
        <v>9.83</v>
      </c>
      <c r="H332" s="17" t="n">
        <v>0.125</v>
      </c>
      <c r="I332" s="17" t="n">
        <v>0.06666666666666667</v>
      </c>
      <c r="J332" s="17" t="n">
        <v>1</v>
      </c>
      <c r="K332" s="17" t="n">
        <v>0.3333333333333333</v>
      </c>
      <c r="L332" s="17">
        <f>PRODUCT(H332:K332)</f>
        <v>0.0027777777777777775</v>
      </c>
      <c r="M332" s="17">
        <f>G332*L332</f>
        <v>0.02730555555555555</v>
      </c>
      <c r="N332" s="17">
        <f>IF(K332=0,H332*I332,L332)</f>
        <v>0.0027777777777777775</v>
      </c>
      <c r="O332" s="17">
        <f>G332*N332</f>
        <v>0.02730555555555555</v>
      </c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</row>
    <row r="333">
      <c r="A333" s="15" t="inlineStr">
        <is>
          <t>8月</t>
        </is>
      </c>
      <c r="B333" s="15" t="inlineStr">
        <is>
          <t>五、酒店客户</t>
        </is>
      </c>
      <c r="C333" s="15" t="inlineStr">
        <is>
          <t>酒店参会客户</t>
        </is>
      </c>
      <c r="D333" s="15" t="inlineStr">
        <is>
          <t>酒店参会客户</t>
        </is>
      </c>
      <c r="E333" s="15" t="inlineStr">
        <is>
          <t>配套服务</t>
        </is>
      </c>
      <c r="F333" s="15" t="inlineStr">
        <is>
          <t>配套服务</t>
        </is>
      </c>
      <c r="G333" s="17" t="n">
        <v>10</v>
      </c>
      <c r="H333" s="17" t="n">
        <v>0.125</v>
      </c>
      <c r="I333" s="17" t="n">
        <v>0.06666666666666667</v>
      </c>
      <c r="J333" s="17" t="n">
        <v>1</v>
      </c>
      <c r="K333" s="17" t="n">
        <v>0.3333333333333333</v>
      </c>
      <c r="L333" s="17">
        <f>PRODUCT(H333:K333)</f>
        <v>0.0027777777777777775</v>
      </c>
      <c r="M333" s="17">
        <f>G333*L333</f>
        <v>0.027777777777777776</v>
      </c>
      <c r="N333" s="17">
        <f>IF(K333=0,H333*I333,L333)</f>
        <v>0.0027777777777777775</v>
      </c>
      <c r="O333" s="17">
        <f>G333*N333</f>
        <v>0.027777777777777776</v>
      </c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</row>
    <row r="334">
      <c r="A334" s="15" t="inlineStr">
        <is>
          <t>8月</t>
        </is>
      </c>
      <c r="B334" s="15" t="inlineStr">
        <is>
          <t>五、酒店客户</t>
        </is>
      </c>
      <c r="C334" s="15" t="inlineStr">
        <is>
          <t>酒店参会客户</t>
        </is>
      </c>
      <c r="D334" s="15" t="inlineStr">
        <is>
          <t>配套服务子项</t>
        </is>
      </c>
      <c r="E334" s="15" t="inlineStr">
        <is>
          <t>其中：餐饮服务</t>
        </is>
      </c>
      <c r="F334" s="15" t="inlineStr">
        <is>
          <t>餐饮服务</t>
        </is>
      </c>
      <c r="G334" s="17" t="n">
        <v>10</v>
      </c>
      <c r="H334" s="17" t="n">
        <v>0.125</v>
      </c>
      <c r="I334" s="17" t="n">
        <v>0.06666666666666667</v>
      </c>
      <c r="J334" s="17" t="n">
        <v>1</v>
      </c>
      <c r="K334" s="17" t="n">
        <v>0</v>
      </c>
      <c r="L334" s="17">
        <f>PRODUCT(H334:K334)</f>
        <v>0.0</v>
      </c>
      <c r="M334" s="17">
        <f>G334*L334</f>
        <v>0.0</v>
      </c>
      <c r="N334" s="17">
        <f>IF(K334=0,H334*I334,L334)</f>
        <v>0.008333333333333333</v>
      </c>
      <c r="O334" s="17">
        <f>G334*N334</f>
        <v>0.08333333333333333</v>
      </c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</row>
    <row r="335">
      <c r="A335" s="15" t="inlineStr">
        <is>
          <t>8月</t>
        </is>
      </c>
      <c r="B335" s="15" t="inlineStr">
        <is>
          <t>五、酒店客户</t>
        </is>
      </c>
      <c r="C335" s="15" t="inlineStr">
        <is>
          <t>酒店餐饮客户</t>
        </is>
      </c>
      <c r="D335" s="15" t="inlineStr">
        <is>
          <t>酒店宴会</t>
        </is>
      </c>
      <c r="E335" s="15" t="inlineStr">
        <is>
          <t>餐饮服务</t>
        </is>
      </c>
      <c r="F335" s="15" t="inlineStr">
        <is>
          <t>餐饮服务</t>
        </is>
      </c>
      <c r="G335" s="17" t="n">
        <v>10</v>
      </c>
      <c r="H335" s="17" t="n">
        <v>0.125</v>
      </c>
      <c r="I335" s="17" t="n">
        <v>0.06666666666666667</v>
      </c>
      <c r="J335" s="17" t="n">
        <v>0.5</v>
      </c>
      <c r="K335" s="17" t="n">
        <v>0.5</v>
      </c>
      <c r="L335" s="17">
        <f>PRODUCT(H335:K335)</f>
        <v>0.0020833333333333333</v>
      </c>
      <c r="M335" s="17">
        <f>G335*L335</f>
        <v>0.020833333333333332</v>
      </c>
      <c r="N335" s="17">
        <f>IF(K335=0,H335*I335,L335)</f>
        <v>0.0020833333333333333</v>
      </c>
      <c r="O335" s="17">
        <f>G335*N335</f>
        <v>0.020833333333333332</v>
      </c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</row>
    <row r="336">
      <c r="A336" s="15" t="inlineStr">
        <is>
          <t>8月</t>
        </is>
      </c>
      <c r="B336" s="15" t="inlineStr">
        <is>
          <t>五、酒店客户</t>
        </is>
      </c>
      <c r="C336" s="15" t="inlineStr">
        <is>
          <t>酒店餐饮客户</t>
        </is>
      </c>
      <c r="D336" s="15" t="inlineStr">
        <is>
          <t>酒店宴会</t>
        </is>
      </c>
      <c r="E336" s="15" t="inlineStr">
        <is>
          <t>硬件设施</t>
        </is>
      </c>
      <c r="F336" s="15" t="inlineStr">
        <is>
          <t>硬件设施</t>
        </is>
      </c>
      <c r="G336" s="17" t="n">
        <v>10</v>
      </c>
      <c r="H336" s="17" t="n">
        <v>0.125</v>
      </c>
      <c r="I336" s="17" t="n">
        <v>0.06666666666666667</v>
      </c>
      <c r="J336" s="17" t="n">
        <v>0.5</v>
      </c>
      <c r="K336" s="17" t="n">
        <v>0.5</v>
      </c>
      <c r="L336" s="17">
        <f>PRODUCT(H336:K336)</f>
        <v>0.0020833333333333333</v>
      </c>
      <c r="M336" s="17">
        <f>G336*L336</f>
        <v>0.020833333333333332</v>
      </c>
      <c r="N336" s="17">
        <f>IF(K336=0,H336*I336,L336)</f>
        <v>0.0020833333333333333</v>
      </c>
      <c r="O336" s="17">
        <f>G336*N336</f>
        <v>0.020833333333333332</v>
      </c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</row>
    <row r="337">
      <c r="A337" s="15" t="inlineStr">
        <is>
          <t>8月</t>
        </is>
      </c>
      <c r="B337" s="15" t="inlineStr">
        <is>
          <t>五、酒店客户</t>
        </is>
      </c>
      <c r="C337" s="15" t="inlineStr">
        <is>
          <t>酒店餐饮客户</t>
        </is>
      </c>
      <c r="D337" s="15" t="inlineStr">
        <is>
          <t>酒店自助餐</t>
        </is>
      </c>
      <c r="E337" s="15" t="inlineStr">
        <is>
          <t>餐饮服务</t>
        </is>
      </c>
      <c r="F337" s="15" t="inlineStr">
        <is>
          <t>餐饮服务</t>
        </is>
      </c>
      <c r="G337" s="17" t="n">
        <v>9.890000000000001</v>
      </c>
      <c r="H337" s="17" t="n">
        <v>0.125</v>
      </c>
      <c r="I337" s="17" t="n">
        <v>0.06666666666666667</v>
      </c>
      <c r="J337" s="17" t="n">
        <v>0.5</v>
      </c>
      <c r="K337" s="17" t="n">
        <v>0.5</v>
      </c>
      <c r="L337" s="17">
        <f>PRODUCT(H337:K337)</f>
        <v>0.0020833333333333333</v>
      </c>
      <c r="M337" s="17">
        <f>G337*L337</f>
        <v>0.020604166666666666</v>
      </c>
      <c r="N337" s="17">
        <f>IF(K337=0,H337*I337,L337)</f>
        <v>0.0020833333333333333</v>
      </c>
      <c r="O337" s="17">
        <f>G337*N337</f>
        <v>0.020604166666666666</v>
      </c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</row>
    <row r="338">
      <c r="A338" s="15" t="inlineStr">
        <is>
          <t>8月</t>
        </is>
      </c>
      <c r="B338" s="15" t="inlineStr">
        <is>
          <t>五、酒店客户</t>
        </is>
      </c>
      <c r="C338" s="15" t="inlineStr">
        <is>
          <t>酒店餐饮客户</t>
        </is>
      </c>
      <c r="D338" s="15" t="inlineStr">
        <is>
          <t>酒店自助餐</t>
        </is>
      </c>
      <c r="E338" s="15" t="inlineStr">
        <is>
          <t>硬件设施</t>
        </is>
      </c>
      <c r="F338" s="15" t="inlineStr">
        <is>
          <t>硬件设施</t>
        </is>
      </c>
      <c r="G338" s="17" t="n">
        <v>9.99</v>
      </c>
      <c r="H338" s="17" t="n">
        <v>0.125</v>
      </c>
      <c r="I338" s="17" t="n">
        <v>0.06666666666666667</v>
      </c>
      <c r="J338" s="17" t="n">
        <v>0.5</v>
      </c>
      <c r="K338" s="17" t="n">
        <v>0.5</v>
      </c>
      <c r="L338" s="17">
        <f>PRODUCT(H338:K338)</f>
        <v>0.0020833333333333333</v>
      </c>
      <c r="M338" s="17">
        <f>G338*L338</f>
        <v>0.0208125</v>
      </c>
      <c r="N338" s="17">
        <f>IF(K338=0,H338*I338,L338)</f>
        <v>0.0020833333333333333</v>
      </c>
      <c r="O338" s="17">
        <f>G338*N338</f>
        <v>0.0208125</v>
      </c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</row>
    <row r="339">
      <c r="A339" s="15" t="inlineStr">
        <is>
          <t>9月</t>
        </is>
      </c>
      <c r="B339" s="15" t="inlineStr">
        <is>
          <t>一、会展客户</t>
        </is>
      </c>
      <c r="C339" s="15" t="inlineStr">
        <is>
          <t>展览活动主（承）办</t>
        </is>
      </c>
      <c r="D339" s="15" t="inlineStr">
        <is>
          <t>展览主承办</t>
        </is>
      </c>
      <c r="E339" s="15" t="inlineStr">
        <is>
          <t>会展服务</t>
        </is>
      </c>
      <c r="F339" s="15" t="inlineStr">
        <is>
          <t>产品服务</t>
        </is>
      </c>
      <c r="G339" s="17" t="n">
        <v>9.529999999999999</v>
      </c>
      <c r="H339" s="17" t="n">
        <v>0.125</v>
      </c>
      <c r="I339" s="17" t="n">
        <v>0.07142857142857142</v>
      </c>
      <c r="J339" s="17" t="n">
        <v>1</v>
      </c>
      <c r="K339" s="17" t="n">
        <v>0.3333333333333333</v>
      </c>
      <c r="L339" s="17">
        <f>PRODUCT(H339:K339)</f>
        <v>0.002976190476190476</v>
      </c>
      <c r="M339" s="17">
        <f>G339*L339</f>
        <v>0.028363095238095236</v>
      </c>
      <c r="N339" s="17">
        <f>IF(K339=0,H339*I339,L339)</f>
        <v>0.002976190476190476</v>
      </c>
      <c r="O339" s="17">
        <f>G339*N339</f>
        <v>0.028363095238095236</v>
      </c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</row>
    <row r="340">
      <c r="A340" s="15" t="inlineStr">
        <is>
          <t>9月</t>
        </is>
      </c>
      <c r="B340" s="15" t="inlineStr">
        <is>
          <t>一、会展客户</t>
        </is>
      </c>
      <c r="C340" s="15" t="inlineStr">
        <is>
          <t>展览活动主（承）办</t>
        </is>
      </c>
      <c r="D340" s="15" t="inlineStr">
        <is>
          <t>展览主承办</t>
        </is>
      </c>
      <c r="E340" s="15" t="inlineStr">
        <is>
          <t>硬件设施</t>
        </is>
      </c>
      <c r="F340" s="15" t="inlineStr">
        <is>
          <t>硬件设施</t>
        </is>
      </c>
      <c r="G340" s="17" t="n">
        <v>9.24</v>
      </c>
      <c r="H340" s="17" t="n">
        <v>0.125</v>
      </c>
      <c r="I340" s="17" t="n">
        <v>0.07142857142857142</v>
      </c>
      <c r="J340" s="17" t="n">
        <v>1</v>
      </c>
      <c r="K340" s="17" t="n">
        <v>0.3333333333333333</v>
      </c>
      <c r="L340" s="17">
        <f>PRODUCT(H340:K340)</f>
        <v>0.002976190476190476</v>
      </c>
      <c r="M340" s="17">
        <f>G340*L340</f>
        <v>0.0275</v>
      </c>
      <c r="N340" s="17">
        <f>IF(K340=0,H340*I340,L340)</f>
        <v>0.002976190476190476</v>
      </c>
      <c r="O340" s="17">
        <f>G340*N340</f>
        <v>0.0275</v>
      </c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</row>
    <row r="341">
      <c r="A341" s="15" t="inlineStr">
        <is>
          <t>9月</t>
        </is>
      </c>
      <c r="B341" s="15" t="inlineStr">
        <is>
          <t>一、会展客户</t>
        </is>
      </c>
      <c r="C341" s="15" t="inlineStr">
        <is>
          <t>展览活动主（承）办</t>
        </is>
      </c>
      <c r="D341" s="15" t="inlineStr">
        <is>
          <t>展览主承办</t>
        </is>
      </c>
      <c r="E341" s="15" t="inlineStr">
        <is>
          <t>配套服务</t>
        </is>
      </c>
      <c r="F341" s="15" t="inlineStr">
        <is>
          <t>配套服务</t>
        </is>
      </c>
      <c r="G341" s="17" t="n">
        <v>9.42</v>
      </c>
      <c r="H341" s="17" t="n">
        <v>0.125</v>
      </c>
      <c r="I341" s="17" t="n">
        <v>0.07142857142857142</v>
      </c>
      <c r="J341" s="17" t="n">
        <v>1</v>
      </c>
      <c r="K341" s="17" t="n">
        <v>0.3333333333333333</v>
      </c>
      <c r="L341" s="17">
        <f>PRODUCT(H341:K341)</f>
        <v>0.002976190476190476</v>
      </c>
      <c r="M341" s="17">
        <f>G341*L341</f>
        <v>0.028035714285714285</v>
      </c>
      <c r="N341" s="17">
        <f>IF(K341=0,H341*I341,L341)</f>
        <v>0.002976190476190476</v>
      </c>
      <c r="O341" s="17">
        <f>G341*N341</f>
        <v>0.028035714285714285</v>
      </c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</row>
    <row r="342">
      <c r="A342" s="15" t="inlineStr">
        <is>
          <t>9月</t>
        </is>
      </c>
      <c r="B342" s="15" t="inlineStr">
        <is>
          <t>一、会展客户</t>
        </is>
      </c>
      <c r="C342" s="15" t="inlineStr">
        <is>
          <t>展览活动主（承）办</t>
        </is>
      </c>
      <c r="D342" s="15" t="inlineStr">
        <is>
          <t>配套服务子项</t>
        </is>
      </c>
      <c r="E342" s="15" t="inlineStr">
        <is>
          <t>其中：餐饮服务</t>
        </is>
      </c>
      <c r="F342" s="15" t="inlineStr">
        <is>
          <t>餐饮服务</t>
        </is>
      </c>
      <c r="G342" s="17" t="n">
        <v>8.4</v>
      </c>
      <c r="H342" s="17" t="n">
        <v>0.125</v>
      </c>
      <c r="I342" s="17" t="n">
        <v>0.07142857142857142</v>
      </c>
      <c r="J342" s="17" t="n">
        <v>1</v>
      </c>
      <c r="K342" s="17" t="n">
        <v>0</v>
      </c>
      <c r="L342" s="17">
        <f>PRODUCT(H342:K342)</f>
        <v>0.0</v>
      </c>
      <c r="M342" s="17">
        <f>G342*L342</f>
        <v>0.0</v>
      </c>
      <c r="N342" s="17">
        <f>IF(K342=0,H342*I342,L342)</f>
        <v>0.008928571428571428</v>
      </c>
      <c r="O342" s="17">
        <f>G342*N342</f>
        <v>0.075</v>
      </c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</row>
    <row r="343">
      <c r="A343" s="15" t="inlineStr">
        <is>
          <t>9月</t>
        </is>
      </c>
      <c r="B343" s="15" t="inlineStr">
        <is>
          <t>一、会展客户</t>
        </is>
      </c>
      <c r="C343" s="15" t="inlineStr">
        <is>
          <t>参展商</t>
        </is>
      </c>
      <c r="D343" s="15" t="inlineStr">
        <is>
          <t>参展商</t>
        </is>
      </c>
      <c r="E343" s="15" t="inlineStr">
        <is>
          <t>会场服务</t>
        </is>
      </c>
      <c r="F343" s="15" t="inlineStr">
        <is>
          <t>产品服务</t>
        </is>
      </c>
      <c r="G343" s="17" t="n">
        <v>9.859999999999999</v>
      </c>
      <c r="H343" s="17" t="n">
        <v>0.125</v>
      </c>
      <c r="I343" s="17" t="n">
        <v>0.07142857142857142</v>
      </c>
      <c r="J343" s="17" t="n">
        <v>1</v>
      </c>
      <c r="K343" s="17" t="n">
        <v>0.25</v>
      </c>
      <c r="L343" s="17">
        <f>PRODUCT(H343:K343)</f>
        <v>0.002232142857142857</v>
      </c>
      <c r="M343" s="17">
        <f>G343*L343</f>
        <v>0.022008928571428568</v>
      </c>
      <c r="N343" s="17">
        <f>IF(K343=0,H343*I343,L343)</f>
        <v>0.002232142857142857</v>
      </c>
      <c r="O343" s="17">
        <f>G343*N343</f>
        <v>0.022008928571428568</v>
      </c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</row>
    <row r="344">
      <c r="A344" s="15" t="inlineStr">
        <is>
          <t>9月</t>
        </is>
      </c>
      <c r="B344" s="15" t="inlineStr">
        <is>
          <t>一、会展客户</t>
        </is>
      </c>
      <c r="C344" s="15" t="inlineStr">
        <is>
          <t>参展商</t>
        </is>
      </c>
      <c r="D344" s="15" t="inlineStr">
        <is>
          <t>参展商</t>
        </is>
      </c>
      <c r="E344" s="15" t="inlineStr">
        <is>
          <t>硬件设施</t>
        </is>
      </c>
      <c r="F344" s="15" t="inlineStr">
        <is>
          <t>硬件设施</t>
        </is>
      </c>
      <c r="G344" s="17" t="n">
        <v>9.640000000000001</v>
      </c>
      <c r="H344" s="17" t="n">
        <v>0.125</v>
      </c>
      <c r="I344" s="17" t="n">
        <v>0.07142857142857142</v>
      </c>
      <c r="J344" s="17" t="n">
        <v>1</v>
      </c>
      <c r="K344" s="17" t="n">
        <v>0.25</v>
      </c>
      <c r="L344" s="17">
        <f>PRODUCT(H344:K344)</f>
        <v>0.002232142857142857</v>
      </c>
      <c r="M344" s="17">
        <f>G344*L344</f>
        <v>0.021517857142857144</v>
      </c>
      <c r="N344" s="17">
        <f>IF(K344=0,H344*I344,L344)</f>
        <v>0.002232142857142857</v>
      </c>
      <c r="O344" s="17">
        <f>G344*N344</f>
        <v>0.021517857142857144</v>
      </c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</row>
    <row r="345">
      <c r="A345" s="15" t="inlineStr">
        <is>
          <t>9月</t>
        </is>
      </c>
      <c r="B345" s="15" t="inlineStr">
        <is>
          <t>一、会展客户</t>
        </is>
      </c>
      <c r="C345" s="15" t="inlineStr">
        <is>
          <t>参展商</t>
        </is>
      </c>
      <c r="D345" s="15" t="inlineStr">
        <is>
          <t>参展商</t>
        </is>
      </c>
      <c r="E345" s="15" t="inlineStr">
        <is>
          <t>配套服务</t>
        </is>
      </c>
      <c r="F345" s="15" t="inlineStr">
        <is>
          <t>配套服务</t>
        </is>
      </c>
      <c r="G345" s="17" t="n">
        <v>9.449999999999999</v>
      </c>
      <c r="H345" s="17" t="n">
        <v>0.125</v>
      </c>
      <c r="I345" s="17" t="n">
        <v>0.07142857142857142</v>
      </c>
      <c r="J345" s="17" t="n">
        <v>1</v>
      </c>
      <c r="K345" s="17" t="n">
        <v>0.25</v>
      </c>
      <c r="L345" s="17">
        <f>PRODUCT(H345:K345)</f>
        <v>0.002232142857142857</v>
      </c>
      <c r="M345" s="17">
        <f>G345*L345</f>
        <v>0.021093749999999998</v>
      </c>
      <c r="N345" s="17">
        <f>IF(K345=0,H345*I345,L345)</f>
        <v>0.002232142857142857</v>
      </c>
      <c r="O345" s="17">
        <f>G345*N345</f>
        <v>0.021093749999999998</v>
      </c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</row>
    <row r="346">
      <c r="A346" s="15" t="inlineStr">
        <is>
          <t>9月</t>
        </is>
      </c>
      <c r="B346" s="15" t="inlineStr">
        <is>
          <t>一、会展客户</t>
        </is>
      </c>
      <c r="C346" s="15" t="inlineStr">
        <is>
          <t>参展商</t>
        </is>
      </c>
      <c r="D346" s="15" t="inlineStr">
        <is>
          <t>参展商</t>
        </is>
      </c>
      <c r="E346" s="15" t="inlineStr">
        <is>
          <t>智慧场馆</t>
        </is>
      </c>
      <c r="F346" s="15" t="inlineStr">
        <is>
          <t>智慧场馆/服务</t>
        </is>
      </c>
      <c r="G346" s="17" t="n">
        <v>9.42</v>
      </c>
      <c r="H346" s="17" t="n">
        <v>0.125</v>
      </c>
      <c r="I346" s="17" t="n">
        <v>0.07142857142857142</v>
      </c>
      <c r="J346" s="17" t="n">
        <v>1</v>
      </c>
      <c r="K346" s="17" t="n">
        <v>0.25</v>
      </c>
      <c r="L346" s="17">
        <f>PRODUCT(H346:K346)</f>
        <v>0.002232142857142857</v>
      </c>
      <c r="M346" s="17">
        <f>G346*L346</f>
        <v>0.021026785714285713</v>
      </c>
      <c r="N346" s="17">
        <f>IF(K346=0,H346*I346,L346)</f>
        <v>0.002232142857142857</v>
      </c>
      <c r="O346" s="17">
        <f>G346*N346</f>
        <v>0.021026785714285713</v>
      </c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</row>
    <row r="347">
      <c r="A347" s="15" t="inlineStr">
        <is>
          <t>9月</t>
        </is>
      </c>
      <c r="B347" s="15" t="inlineStr">
        <is>
          <t>一、会展客户</t>
        </is>
      </c>
      <c r="C347" s="15" t="inlineStr">
        <is>
          <t>参展商</t>
        </is>
      </c>
      <c r="D347" s="15" t="inlineStr">
        <is>
          <t>配套服务子项</t>
        </is>
      </c>
      <c r="E347" s="15" t="inlineStr">
        <is>
          <t>其中：餐饮服务</t>
        </is>
      </c>
      <c r="F347" s="15" t="inlineStr">
        <is>
          <t>餐饮服务</t>
        </is>
      </c>
      <c r="G347" s="17" t="n">
        <v>8.48</v>
      </c>
      <c r="H347" s="17" t="n">
        <v>0.125</v>
      </c>
      <c r="I347" s="17" t="n">
        <v>0.07142857142857142</v>
      </c>
      <c r="J347" s="17" t="n">
        <v>1</v>
      </c>
      <c r="K347" s="17" t="n">
        <v>0</v>
      </c>
      <c r="L347" s="17">
        <f>PRODUCT(H347:K347)</f>
        <v>0.0</v>
      </c>
      <c r="M347" s="17">
        <f>G347*L347</f>
        <v>0.0</v>
      </c>
      <c r="N347" s="17">
        <f>IF(K347=0,H347*I347,L347)</f>
        <v>0.008928571428571428</v>
      </c>
      <c r="O347" s="17">
        <f>G347*N347</f>
        <v>0.07571428571428572</v>
      </c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</row>
    <row r="348">
      <c r="A348" s="15" t="inlineStr">
        <is>
          <t>9月</t>
        </is>
      </c>
      <c r="B348" s="15" t="inlineStr">
        <is>
          <t>一、会展客户</t>
        </is>
      </c>
      <c r="C348" s="15" t="inlineStr">
        <is>
          <t>专业观众</t>
        </is>
      </c>
      <c r="D348" s="15" t="inlineStr">
        <is>
          <t>专业观众</t>
        </is>
      </c>
      <c r="E348" s="15" t="inlineStr">
        <is>
          <t>会展服务</t>
        </is>
      </c>
      <c r="F348" s="15" t="inlineStr">
        <is>
          <t>产品服务</t>
        </is>
      </c>
      <c r="G348" s="17" t="n">
        <v>10</v>
      </c>
      <c r="H348" s="17" t="n">
        <v>0.125</v>
      </c>
      <c r="I348" s="17" t="n">
        <v>0.07142857142857142</v>
      </c>
      <c r="J348" s="17" t="n">
        <v>1</v>
      </c>
      <c r="K348" s="17" t="n">
        <v>0.3333333333333333</v>
      </c>
      <c r="L348" s="17">
        <f>PRODUCT(H348:K348)</f>
        <v>0.002976190476190476</v>
      </c>
      <c r="M348" s="17">
        <f>G348*L348</f>
        <v>0.02976190476190476</v>
      </c>
      <c r="N348" s="17">
        <f>IF(K348=0,H348*I348,L348)</f>
        <v>0.002976190476190476</v>
      </c>
      <c r="O348" s="17">
        <f>G348*N348</f>
        <v>0.02976190476190476</v>
      </c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</row>
    <row r="349">
      <c r="A349" s="15" t="inlineStr">
        <is>
          <t>9月</t>
        </is>
      </c>
      <c r="B349" s="15" t="inlineStr">
        <is>
          <t>一、会展客户</t>
        </is>
      </c>
      <c r="C349" s="15" t="inlineStr">
        <is>
          <t>专业观众</t>
        </is>
      </c>
      <c r="D349" s="15" t="inlineStr">
        <is>
          <t>专业观众</t>
        </is>
      </c>
      <c r="E349" s="15" t="inlineStr">
        <is>
          <t>硬件设施</t>
        </is>
      </c>
      <c r="F349" s="15" t="inlineStr">
        <is>
          <t>硬件设施</t>
        </is>
      </c>
      <c r="G349" s="17" t="n">
        <v>9.720000000000001</v>
      </c>
      <c r="H349" s="17" t="n">
        <v>0.125</v>
      </c>
      <c r="I349" s="17" t="n">
        <v>0.07142857142857142</v>
      </c>
      <c r="J349" s="17" t="n">
        <v>1</v>
      </c>
      <c r="K349" s="17" t="n">
        <v>0.3333333333333333</v>
      </c>
      <c r="L349" s="17">
        <f>PRODUCT(H349:K349)</f>
        <v>0.002976190476190476</v>
      </c>
      <c r="M349" s="17">
        <f>G349*L349</f>
        <v>0.02892857142857143</v>
      </c>
      <c r="N349" s="17">
        <f>IF(K349=0,H349*I349,L349)</f>
        <v>0.002976190476190476</v>
      </c>
      <c r="O349" s="17">
        <f>G349*N349</f>
        <v>0.02892857142857143</v>
      </c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</row>
    <row r="350">
      <c r="A350" s="15" t="inlineStr">
        <is>
          <t>9月</t>
        </is>
      </c>
      <c r="B350" s="15" t="inlineStr">
        <is>
          <t>一、会展客户</t>
        </is>
      </c>
      <c r="C350" s="15" t="inlineStr">
        <is>
          <t>专业观众</t>
        </is>
      </c>
      <c r="D350" s="15" t="inlineStr">
        <is>
          <t>专业观众</t>
        </is>
      </c>
      <c r="E350" s="15" t="inlineStr">
        <is>
          <t>配套服务</t>
        </is>
      </c>
      <c r="F350" s="15" t="inlineStr">
        <is>
          <t>配套服务</t>
        </is>
      </c>
      <c r="G350" s="17" t="n">
        <v>9.390000000000001</v>
      </c>
      <c r="H350" s="17" t="n">
        <v>0.125</v>
      </c>
      <c r="I350" s="17" t="n">
        <v>0.07142857142857142</v>
      </c>
      <c r="J350" s="17" t="n">
        <v>1</v>
      </c>
      <c r="K350" s="17" t="n">
        <v>0.3333333333333333</v>
      </c>
      <c r="L350" s="17">
        <f>PRODUCT(H350:K350)</f>
        <v>0.002976190476190476</v>
      </c>
      <c r="M350" s="17">
        <f>G350*L350</f>
        <v>0.02794642857142857</v>
      </c>
      <c r="N350" s="17">
        <f>IF(K350=0,H350*I350,L350)</f>
        <v>0.002976190476190476</v>
      </c>
      <c r="O350" s="17">
        <f>G350*N350</f>
        <v>0.02794642857142857</v>
      </c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</row>
    <row r="351">
      <c r="A351" s="15" t="inlineStr">
        <is>
          <t>9月</t>
        </is>
      </c>
      <c r="B351" s="15" t="inlineStr">
        <is>
          <t>一、会展客户</t>
        </is>
      </c>
      <c r="C351" s="15" t="inlineStr">
        <is>
          <t>专业观众</t>
        </is>
      </c>
      <c r="D351" s="15" t="inlineStr">
        <is>
          <t>配套服务子项</t>
        </is>
      </c>
      <c r="E351" s="15" t="inlineStr">
        <is>
          <t>其中：餐饮服务</t>
        </is>
      </c>
      <c r="F351" s="15" t="inlineStr">
        <is>
          <t>餐饮服务</t>
        </is>
      </c>
      <c r="G351" s="17" t="n">
        <v>8.5</v>
      </c>
      <c r="H351" s="17" t="n">
        <v>0.125</v>
      </c>
      <c r="I351" s="17" t="n">
        <v>0.07142857142857142</v>
      </c>
      <c r="J351" s="17" t="n">
        <v>1</v>
      </c>
      <c r="K351" s="17" t="n">
        <v>0</v>
      </c>
      <c r="L351" s="17">
        <f>PRODUCT(H351:K351)</f>
        <v>0.0</v>
      </c>
      <c r="M351" s="17">
        <f>G351*L351</f>
        <v>0.0</v>
      </c>
      <c r="N351" s="17">
        <f>IF(K351=0,H351*I351,L351)</f>
        <v>0.008928571428571428</v>
      </c>
      <c r="O351" s="17">
        <f>G351*N351</f>
        <v>0.07589285714285714</v>
      </c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</row>
    <row r="352">
      <c r="A352" s="15" t="inlineStr">
        <is>
          <t>9月</t>
        </is>
      </c>
      <c r="B352" s="15" t="inlineStr">
        <is>
          <t>一、会展客户</t>
        </is>
      </c>
      <c r="C352" s="15" t="inlineStr">
        <is>
          <t>会展服务商</t>
        </is>
      </c>
      <c r="D352" s="15" t="inlineStr">
        <is>
          <t>会展服务商</t>
        </is>
      </c>
      <c r="E352" s="15" t="inlineStr">
        <is>
          <t>会展服务</t>
        </is>
      </c>
      <c r="F352" s="15" t="inlineStr">
        <is>
          <t>产品服务</t>
        </is>
      </c>
      <c r="G352" s="17" t="n">
        <v>9.82</v>
      </c>
      <c r="H352" s="17" t="n">
        <v>0.125</v>
      </c>
      <c r="I352" s="17" t="n">
        <v>0.07142857142857142</v>
      </c>
      <c r="J352" s="17" t="n">
        <v>1</v>
      </c>
      <c r="K352" s="17" t="n">
        <v>0.25</v>
      </c>
      <c r="L352" s="17">
        <f>PRODUCT(H352:K352)</f>
        <v>0.002232142857142857</v>
      </c>
      <c r="M352" s="17">
        <f>G352*L352</f>
        <v>0.021919642857142856</v>
      </c>
      <c r="N352" s="17">
        <f>IF(K352=0,H352*I352,L352)</f>
        <v>0.002232142857142857</v>
      </c>
      <c r="O352" s="17">
        <f>G352*N352</f>
        <v>0.021919642857142856</v>
      </c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</row>
    <row r="353">
      <c r="A353" s="15" t="inlineStr">
        <is>
          <t>9月</t>
        </is>
      </c>
      <c r="B353" s="15" t="inlineStr">
        <is>
          <t>一、会展客户</t>
        </is>
      </c>
      <c r="C353" s="15" t="inlineStr">
        <is>
          <t>会展服务商</t>
        </is>
      </c>
      <c r="D353" s="15" t="inlineStr">
        <is>
          <t>会展服务商</t>
        </is>
      </c>
      <c r="E353" s="15" t="inlineStr">
        <is>
          <t>硬件设施</t>
        </is>
      </c>
      <c r="F353" s="15" t="inlineStr">
        <is>
          <t>硬件设施</t>
        </is>
      </c>
      <c r="G353" s="17" t="n">
        <v>9.83</v>
      </c>
      <c r="H353" s="17" t="n">
        <v>0.125</v>
      </c>
      <c r="I353" s="17" t="n">
        <v>0.07142857142857142</v>
      </c>
      <c r="J353" s="17" t="n">
        <v>1</v>
      </c>
      <c r="K353" s="17" t="n">
        <v>0.25</v>
      </c>
      <c r="L353" s="17">
        <f>PRODUCT(H353:K353)</f>
        <v>0.002232142857142857</v>
      </c>
      <c r="M353" s="17">
        <f>G353*L353</f>
        <v>0.021941964285714283</v>
      </c>
      <c r="N353" s="17">
        <f>IF(K353=0,H353*I353,L353)</f>
        <v>0.002232142857142857</v>
      </c>
      <c r="O353" s="17">
        <f>G353*N353</f>
        <v>0.021941964285714283</v>
      </c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</row>
    <row r="354">
      <c r="A354" s="15" t="inlineStr">
        <is>
          <t>9月</t>
        </is>
      </c>
      <c r="B354" s="15" t="inlineStr">
        <is>
          <t>一、会展客户</t>
        </is>
      </c>
      <c r="C354" s="15" t="inlineStr">
        <is>
          <t>会展服务商</t>
        </is>
      </c>
      <c r="D354" s="15" t="inlineStr">
        <is>
          <t>会展服务商</t>
        </is>
      </c>
      <c r="E354" s="15" t="inlineStr">
        <is>
          <t>配套服务</t>
        </is>
      </c>
      <c r="F354" s="15" t="inlineStr">
        <is>
          <t>配套服务</t>
        </is>
      </c>
      <c r="G354" s="17" t="n">
        <v>9.44</v>
      </c>
      <c r="H354" s="17" t="n">
        <v>0.125</v>
      </c>
      <c r="I354" s="17" t="n">
        <v>0.07142857142857142</v>
      </c>
      <c r="J354" s="17" t="n">
        <v>1</v>
      </c>
      <c r="K354" s="17" t="n">
        <v>0.25</v>
      </c>
      <c r="L354" s="17">
        <f>PRODUCT(H354:K354)</f>
        <v>0.002232142857142857</v>
      </c>
      <c r="M354" s="17">
        <f>G354*L354</f>
        <v>0.02107142857142857</v>
      </c>
      <c r="N354" s="17">
        <f>IF(K354=0,H354*I354,L354)</f>
        <v>0.002232142857142857</v>
      </c>
      <c r="O354" s="17">
        <f>G354*N354</f>
        <v>0.02107142857142857</v>
      </c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</row>
    <row r="355">
      <c r="A355" s="15" t="inlineStr">
        <is>
          <t>9月</t>
        </is>
      </c>
      <c r="B355" s="15" t="inlineStr">
        <is>
          <t>一、会展客户</t>
        </is>
      </c>
      <c r="C355" s="15" t="inlineStr">
        <is>
          <t>会展服务商</t>
        </is>
      </c>
      <c r="D355" s="15" t="inlineStr">
        <is>
          <t>会展服务商</t>
        </is>
      </c>
      <c r="E355" s="15" t="inlineStr">
        <is>
          <t>智慧场馆</t>
        </is>
      </c>
      <c r="F355" s="15" t="inlineStr">
        <is>
          <t>智慧场馆/服务</t>
        </is>
      </c>
      <c r="G355" s="17" t="n">
        <v>10</v>
      </c>
      <c r="H355" s="17" t="n">
        <v>0.125</v>
      </c>
      <c r="I355" s="17" t="n">
        <v>0.07142857142857142</v>
      </c>
      <c r="J355" s="17" t="n">
        <v>1</v>
      </c>
      <c r="K355" s="17" t="n">
        <v>0.25</v>
      </c>
      <c r="L355" s="17">
        <f>PRODUCT(H355:K355)</f>
        <v>0.002232142857142857</v>
      </c>
      <c r="M355" s="17">
        <f>G355*L355</f>
        <v>0.02232142857142857</v>
      </c>
      <c r="N355" s="17">
        <f>IF(K355=0,H355*I355,L355)</f>
        <v>0.002232142857142857</v>
      </c>
      <c r="O355" s="17">
        <f>G355*N355</f>
        <v>0.02232142857142857</v>
      </c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</row>
    <row r="356">
      <c r="A356" s="15" t="inlineStr">
        <is>
          <t>9月</t>
        </is>
      </c>
      <c r="B356" s="15" t="inlineStr">
        <is>
          <t>一、会展客户</t>
        </is>
      </c>
      <c r="C356" s="15" t="inlineStr">
        <is>
          <t>会展服务商</t>
        </is>
      </c>
      <c r="D356" s="15" t="inlineStr">
        <is>
          <t>配套服务子项</t>
        </is>
      </c>
      <c r="E356" s="15" t="inlineStr">
        <is>
          <t>其中：餐饮服务</t>
        </is>
      </c>
      <c r="F356" s="15" t="inlineStr">
        <is>
          <t>餐饮服务</t>
        </is>
      </c>
      <c r="G356" s="17" t="n">
        <v>8.33</v>
      </c>
      <c r="H356" s="17" t="n">
        <v>0.125</v>
      </c>
      <c r="I356" s="17" t="n">
        <v>0.07142857142857142</v>
      </c>
      <c r="J356" s="17" t="n">
        <v>1</v>
      </c>
      <c r="K356" s="17" t="n">
        <v>0</v>
      </c>
      <c r="L356" s="17">
        <f>PRODUCT(H356:K356)</f>
        <v>0.0</v>
      </c>
      <c r="M356" s="17">
        <f>G356*L356</f>
        <v>0.0</v>
      </c>
      <c r="N356" s="17">
        <f>IF(K356=0,H356*I356,L356)</f>
        <v>0.008928571428571428</v>
      </c>
      <c r="O356" s="17">
        <f>G356*N356</f>
        <v>0.074375</v>
      </c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</row>
    <row r="357">
      <c r="A357" s="15" t="inlineStr">
        <is>
          <t>9月</t>
        </is>
      </c>
      <c r="B357" s="15" t="inlineStr">
        <is>
          <t>一、会展客户</t>
        </is>
      </c>
      <c r="C357" s="15" t="inlineStr">
        <is>
          <t>会议活动主（承）办</t>
        </is>
      </c>
      <c r="D357" s="15" t="inlineStr">
        <is>
          <t>会议主承办</t>
        </is>
      </c>
      <c r="E357" s="15" t="inlineStr">
        <is>
          <t>会展服务</t>
        </is>
      </c>
      <c r="F357" s="15" t="inlineStr">
        <is>
          <t>产品服务</t>
        </is>
      </c>
      <c r="G357" s="17" t="n">
        <v>9.98</v>
      </c>
      <c r="H357" s="17" t="n">
        <v>0.125</v>
      </c>
      <c r="I357" s="17" t="n">
        <v>0.07142857142857142</v>
      </c>
      <c r="J357" s="17" t="n">
        <v>1</v>
      </c>
      <c r="K357" s="17" t="n">
        <v>0.3333333333333333</v>
      </c>
      <c r="L357" s="17">
        <f>PRODUCT(H357:K357)</f>
        <v>0.002976190476190476</v>
      </c>
      <c r="M357" s="17">
        <f>G357*L357</f>
        <v>0.029702380952380952</v>
      </c>
      <c r="N357" s="17">
        <f>IF(K357=0,H357*I357,L357)</f>
        <v>0.002976190476190476</v>
      </c>
      <c r="O357" s="17">
        <f>G357*N357</f>
        <v>0.029702380952380952</v>
      </c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</row>
    <row r="358">
      <c r="A358" s="15" t="inlineStr">
        <is>
          <t>9月</t>
        </is>
      </c>
      <c r="B358" s="15" t="inlineStr">
        <is>
          <t>一、会展客户</t>
        </is>
      </c>
      <c r="C358" s="15" t="inlineStr">
        <is>
          <t>会议活动主（承）办</t>
        </is>
      </c>
      <c r="D358" s="15" t="inlineStr">
        <is>
          <t>会议主承办</t>
        </is>
      </c>
      <c r="E358" s="15" t="inlineStr">
        <is>
          <t>硬件设施</t>
        </is>
      </c>
      <c r="F358" s="15" t="inlineStr">
        <is>
          <t>硬件设施</t>
        </is>
      </c>
      <c r="G358" s="17" t="n">
        <v>9.75</v>
      </c>
      <c r="H358" s="17" t="n">
        <v>0.125</v>
      </c>
      <c r="I358" s="17" t="n">
        <v>0.07142857142857142</v>
      </c>
      <c r="J358" s="17" t="n">
        <v>1</v>
      </c>
      <c r="K358" s="17" t="n">
        <v>0.3333333333333333</v>
      </c>
      <c r="L358" s="17">
        <f>PRODUCT(H358:K358)</f>
        <v>0.002976190476190476</v>
      </c>
      <c r="M358" s="17">
        <f>G358*L358</f>
        <v>0.02901785714285714</v>
      </c>
      <c r="N358" s="17">
        <f>IF(K358=0,H358*I358,L358)</f>
        <v>0.002976190476190476</v>
      </c>
      <c r="O358" s="17">
        <f>G358*N358</f>
        <v>0.02901785714285714</v>
      </c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</row>
    <row r="359">
      <c r="A359" s="15" t="inlineStr">
        <is>
          <t>9月</t>
        </is>
      </c>
      <c r="B359" s="15" t="inlineStr">
        <is>
          <t>一、会展客户</t>
        </is>
      </c>
      <c r="C359" s="15" t="inlineStr">
        <is>
          <t>会议活动主（承）办</t>
        </is>
      </c>
      <c r="D359" s="15" t="inlineStr">
        <is>
          <t>会议主承办</t>
        </is>
      </c>
      <c r="E359" s="15" t="inlineStr">
        <is>
          <t>配套服务</t>
        </is>
      </c>
      <c r="F359" s="15" t="inlineStr">
        <is>
          <t>配套服务</t>
        </is>
      </c>
      <c r="G359" s="17" t="n">
        <v>9.83</v>
      </c>
      <c r="H359" s="17" t="n">
        <v>0.125</v>
      </c>
      <c r="I359" s="17" t="n">
        <v>0.07142857142857142</v>
      </c>
      <c r="J359" s="17" t="n">
        <v>1</v>
      </c>
      <c r="K359" s="17" t="n">
        <v>0.3333333333333333</v>
      </c>
      <c r="L359" s="17">
        <f>PRODUCT(H359:K359)</f>
        <v>0.002976190476190476</v>
      </c>
      <c r="M359" s="17">
        <f>G359*L359</f>
        <v>0.02925595238095238</v>
      </c>
      <c r="N359" s="17">
        <f>IF(K359=0,H359*I359,L359)</f>
        <v>0.002976190476190476</v>
      </c>
      <c r="O359" s="17">
        <f>G359*N359</f>
        <v>0.02925595238095238</v>
      </c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</row>
    <row r="360">
      <c r="A360" s="15" t="inlineStr">
        <is>
          <t>9月</t>
        </is>
      </c>
      <c r="B360" s="15" t="inlineStr">
        <is>
          <t>一、会展客户</t>
        </is>
      </c>
      <c r="C360" s="15" t="inlineStr">
        <is>
          <t>会议活动主（承）办</t>
        </is>
      </c>
      <c r="D360" s="15" t="inlineStr">
        <is>
          <t>配套服务子项</t>
        </is>
      </c>
      <c r="E360" s="15" t="inlineStr">
        <is>
          <t>其中：餐饮服务</t>
        </is>
      </c>
      <c r="F360" s="15" t="inlineStr">
        <is>
          <t>餐饮服务</t>
        </is>
      </c>
      <c r="G360" s="17" t="n">
        <v>9.33</v>
      </c>
      <c r="H360" s="17" t="n">
        <v>0.125</v>
      </c>
      <c r="I360" s="17" t="n">
        <v>0.07142857142857142</v>
      </c>
      <c r="J360" s="17" t="n">
        <v>1</v>
      </c>
      <c r="K360" s="17" t="n">
        <v>0</v>
      </c>
      <c r="L360" s="17">
        <f>PRODUCT(H360:K360)</f>
        <v>0.0</v>
      </c>
      <c r="M360" s="17">
        <f>G360*L360</f>
        <v>0.0</v>
      </c>
      <c r="N360" s="17">
        <f>IF(K360=0,H360*I360,L360)</f>
        <v>0.008928571428571428</v>
      </c>
      <c r="O360" s="17">
        <f>G360*N360</f>
        <v>0.08330357142857142</v>
      </c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</row>
    <row r="361">
      <c r="A361" s="15" t="inlineStr">
        <is>
          <t>9月</t>
        </is>
      </c>
      <c r="B361" s="15" t="inlineStr">
        <is>
          <t>二、餐饮客户</t>
        </is>
      </c>
      <c r="C361" s="15" t="inlineStr">
        <is>
          <t>商务简餐</t>
        </is>
      </c>
      <c r="D361" s="15" t="inlineStr">
        <is>
          <t>商务简餐</t>
        </is>
      </c>
      <c r="E361" s="15" t="inlineStr">
        <is>
          <t>餐饮服务</t>
        </is>
      </c>
      <c r="F361" s="15" t="inlineStr">
        <is>
          <t>餐饮服务</t>
        </is>
      </c>
      <c r="G361" s="17" t="n">
        <v>10</v>
      </c>
      <c r="H361" s="17" t="n">
        <v>0.125</v>
      </c>
      <c r="I361" s="17" t="n">
        <v>0.07142857142857142</v>
      </c>
      <c r="J361" s="17" t="n">
        <v>1</v>
      </c>
      <c r="K361" s="17" t="n">
        <v>0.5</v>
      </c>
      <c r="L361" s="17">
        <f>PRODUCT(H361:K361)</f>
        <v>0.004464285714285714</v>
      </c>
      <c r="M361" s="17">
        <f>G361*L361</f>
        <v>0.04464285714285714</v>
      </c>
      <c r="N361" s="17">
        <f>IF(K361=0,H361*I361,L361)</f>
        <v>0.004464285714285714</v>
      </c>
      <c r="O361" s="17">
        <f>G361*N361</f>
        <v>0.04464285714285714</v>
      </c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</row>
    <row r="362">
      <c r="A362" s="15" t="inlineStr">
        <is>
          <t>9月</t>
        </is>
      </c>
      <c r="B362" s="15" t="inlineStr">
        <is>
          <t>二、餐饮客户</t>
        </is>
      </c>
      <c r="C362" s="15" t="inlineStr">
        <is>
          <t>商务简餐</t>
        </is>
      </c>
      <c r="D362" s="15" t="inlineStr">
        <is>
          <t>商务简餐</t>
        </is>
      </c>
      <c r="E362" s="15" t="inlineStr">
        <is>
          <t>硬件设施</t>
        </is>
      </c>
      <c r="F362" s="15" t="inlineStr">
        <is>
          <t>硬件设施</t>
        </is>
      </c>
      <c r="G362" s="17" t="n">
        <v>9.380000000000001</v>
      </c>
      <c r="H362" s="17" t="n">
        <v>0.125</v>
      </c>
      <c r="I362" s="17" t="n">
        <v>0.07142857142857142</v>
      </c>
      <c r="J362" s="17" t="n">
        <v>1</v>
      </c>
      <c r="K362" s="17" t="n">
        <v>0.5</v>
      </c>
      <c r="L362" s="17">
        <f>PRODUCT(H362:K362)</f>
        <v>0.004464285714285714</v>
      </c>
      <c r="M362" s="17">
        <f>G362*L362</f>
        <v>0.041875</v>
      </c>
      <c r="N362" s="17">
        <f>IF(K362=0,H362*I362,L362)</f>
        <v>0.004464285714285714</v>
      </c>
      <c r="O362" s="17">
        <f>G362*N362</f>
        <v>0.041875</v>
      </c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</row>
    <row r="363">
      <c r="A363" s="15" t="inlineStr">
        <is>
          <t>9月</t>
        </is>
      </c>
      <c r="B363" s="15" t="inlineStr">
        <is>
          <t>二、餐饮客户</t>
        </is>
      </c>
      <c r="C363" s="15" t="inlineStr">
        <is>
          <t>特色美食廊</t>
        </is>
      </c>
      <c r="D363" s="15" t="inlineStr">
        <is>
          <t>特色美食廊</t>
        </is>
      </c>
      <c r="E363" s="15" t="inlineStr">
        <is>
          <t>餐饮服务</t>
        </is>
      </c>
      <c r="F363" s="15" t="inlineStr">
        <is>
          <t>餐饮服务</t>
        </is>
      </c>
      <c r="G363" s="17" t="n">
        <v>9.880000000000001</v>
      </c>
      <c r="H363" s="17" t="n">
        <v>0.125</v>
      </c>
      <c r="I363" s="17" t="n">
        <v>0.07142857142857142</v>
      </c>
      <c r="J363" s="17" t="n">
        <v>1</v>
      </c>
      <c r="K363" s="17" t="n">
        <v>0.3333333333333333</v>
      </c>
      <c r="L363" s="17">
        <f>PRODUCT(H363:K363)</f>
        <v>0.002976190476190476</v>
      </c>
      <c r="M363" s="17">
        <f>G363*L363</f>
        <v>0.029404761904761906</v>
      </c>
      <c r="N363" s="17">
        <f>IF(K363=0,H363*I363,L363)</f>
        <v>0.002976190476190476</v>
      </c>
      <c r="O363" s="17">
        <f>G363*N363</f>
        <v>0.029404761904761906</v>
      </c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</row>
    <row r="364">
      <c r="A364" s="15" t="inlineStr">
        <is>
          <t>9月</t>
        </is>
      </c>
      <c r="B364" s="15" t="inlineStr">
        <is>
          <t>二、餐饮客户</t>
        </is>
      </c>
      <c r="C364" s="15" t="inlineStr">
        <is>
          <t>特色美食廊</t>
        </is>
      </c>
      <c r="D364" s="15" t="inlineStr">
        <is>
          <t>特色美食廊</t>
        </is>
      </c>
      <c r="E364" s="15" t="inlineStr">
        <is>
          <t>硬件设施</t>
        </is>
      </c>
      <c r="F364" s="15" t="inlineStr">
        <is>
          <t>硬件设施</t>
        </is>
      </c>
      <c r="G364" s="17" t="n">
        <v>9.869999999999999</v>
      </c>
      <c r="H364" s="17" t="n">
        <v>0.125</v>
      </c>
      <c r="I364" s="17" t="n">
        <v>0.07142857142857142</v>
      </c>
      <c r="J364" s="17" t="n">
        <v>1</v>
      </c>
      <c r="K364" s="17" t="n">
        <v>0.3333333333333333</v>
      </c>
      <c r="L364" s="17">
        <f>PRODUCT(H364:K364)</f>
        <v>0.002976190476190476</v>
      </c>
      <c r="M364" s="17">
        <f>G364*L364</f>
        <v>0.029374999999999995</v>
      </c>
      <c r="N364" s="17">
        <f>IF(K364=0,H364*I364,L364)</f>
        <v>0.002976190476190476</v>
      </c>
      <c r="O364" s="17">
        <f>G364*N364</f>
        <v>0.029374999999999995</v>
      </c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</row>
    <row r="365">
      <c r="A365" s="15" t="inlineStr">
        <is>
          <t>9月</t>
        </is>
      </c>
      <c r="B365" s="15" t="inlineStr">
        <is>
          <t>二、餐饮客户</t>
        </is>
      </c>
      <c r="C365" s="15" t="inlineStr">
        <is>
          <t>特色美食廊</t>
        </is>
      </c>
      <c r="D365" s="15" t="inlineStr">
        <is>
          <t>特色美食廊</t>
        </is>
      </c>
      <c r="E365" s="15" t="inlineStr">
        <is>
          <t>智慧场馆</t>
        </is>
      </c>
      <c r="F365" s="15" t="inlineStr">
        <is>
          <t>智慧场馆/服务</t>
        </is>
      </c>
      <c r="G365" s="17" t="n">
        <v>10</v>
      </c>
      <c r="H365" s="17" t="n">
        <v>0.125</v>
      </c>
      <c r="I365" s="17" t="n">
        <v>0.07142857142857142</v>
      </c>
      <c r="J365" s="17" t="n">
        <v>1</v>
      </c>
      <c r="K365" s="17" t="n">
        <v>0.3333333333333333</v>
      </c>
      <c r="L365" s="17">
        <f>PRODUCT(H365:K365)</f>
        <v>0.002976190476190476</v>
      </c>
      <c r="M365" s="17">
        <f>G365*L365</f>
        <v>0.02976190476190476</v>
      </c>
      <c r="N365" s="17">
        <f>IF(K365=0,H365*I365,L365)</f>
        <v>0.002976190476190476</v>
      </c>
      <c r="O365" s="17">
        <f>G365*N365</f>
        <v>0.02976190476190476</v>
      </c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</row>
    <row r="366">
      <c r="A366" s="15" t="inlineStr">
        <is>
          <t>9月</t>
        </is>
      </c>
      <c r="B366" s="15" t="inlineStr">
        <is>
          <t>二、餐饮客户</t>
        </is>
      </c>
      <c r="C366" s="15" t="inlineStr">
        <is>
          <t>自助餐</t>
        </is>
      </c>
      <c r="D366" s="15" t="inlineStr">
        <is>
          <t>自助餐</t>
        </is>
      </c>
      <c r="E366" s="15" t="inlineStr">
        <is>
          <t>餐饮服务</t>
        </is>
      </c>
      <c r="F366" s="15" t="inlineStr">
        <is>
          <t>餐饮服务</t>
        </is>
      </c>
      <c r="G366" s="17" t="n">
        <v>9.65</v>
      </c>
      <c r="H366" s="17" t="n">
        <v>0.125</v>
      </c>
      <c r="I366" s="17" t="n">
        <v>0.07142857142857142</v>
      </c>
      <c r="J366" s="17" t="n">
        <v>1</v>
      </c>
      <c r="K366" s="17" t="n">
        <v>0.5</v>
      </c>
      <c r="L366" s="17">
        <f>PRODUCT(H366:K366)</f>
        <v>0.004464285714285714</v>
      </c>
      <c r="M366" s="17">
        <f>G366*L366</f>
        <v>0.04308035714285714</v>
      </c>
      <c r="N366" s="17">
        <f>IF(K366=0,H366*I366,L366)</f>
        <v>0.004464285714285714</v>
      </c>
      <c r="O366" s="17">
        <f>G366*N366</f>
        <v>0.04308035714285714</v>
      </c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</row>
    <row r="367">
      <c r="A367" s="15" t="inlineStr">
        <is>
          <t>9月</t>
        </is>
      </c>
      <c r="B367" s="15" t="inlineStr">
        <is>
          <t>二、餐饮客户</t>
        </is>
      </c>
      <c r="C367" s="15" t="inlineStr">
        <is>
          <t>自助餐</t>
        </is>
      </c>
      <c r="D367" s="15" t="inlineStr">
        <is>
          <t>自助餐</t>
        </is>
      </c>
      <c r="E367" s="15" t="inlineStr">
        <is>
          <t>硬件设施</t>
        </is>
      </c>
      <c r="F367" s="15" t="inlineStr">
        <is>
          <t>硬件设施</t>
        </is>
      </c>
      <c r="G367" s="17" t="n">
        <v>9.710000000000001</v>
      </c>
      <c r="H367" s="17" t="n">
        <v>0.125</v>
      </c>
      <c r="I367" s="17" t="n">
        <v>0.07142857142857142</v>
      </c>
      <c r="J367" s="17" t="n">
        <v>1</v>
      </c>
      <c r="K367" s="17" t="n">
        <v>0.5</v>
      </c>
      <c r="L367" s="17">
        <f>PRODUCT(H367:K367)</f>
        <v>0.004464285714285714</v>
      </c>
      <c r="M367" s="17">
        <f>G367*L367</f>
        <v>0.04334821428571429</v>
      </c>
      <c r="N367" s="17">
        <f>IF(K367=0,H367*I367,L367)</f>
        <v>0.004464285714285714</v>
      </c>
      <c r="O367" s="17">
        <f>G367*N367</f>
        <v>0.04334821428571429</v>
      </c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</row>
    <row r="368">
      <c r="A368" s="15" t="inlineStr">
        <is>
          <t>9月</t>
        </is>
      </c>
      <c r="B368" s="15" t="inlineStr">
        <is>
          <t>二、餐饮客户</t>
        </is>
      </c>
      <c r="C368" s="15" t="inlineStr">
        <is>
          <t>宴会</t>
        </is>
      </c>
      <c r="D368" s="15" t="inlineStr">
        <is>
          <t>宴会</t>
        </is>
      </c>
      <c r="E368" s="15" t="inlineStr">
        <is>
          <t>餐饮服务</t>
        </is>
      </c>
      <c r="F368" s="15" t="inlineStr">
        <is>
          <t>餐饮服务</t>
        </is>
      </c>
      <c r="G368" s="17" t="n">
        <v>9.98</v>
      </c>
      <c r="H368" s="17" t="n">
        <v>0.125</v>
      </c>
      <c r="I368" s="17" t="n">
        <v>0.07142857142857142</v>
      </c>
      <c r="J368" s="17" t="n">
        <v>1</v>
      </c>
      <c r="K368" s="17" t="n">
        <v>0.5</v>
      </c>
      <c r="L368" s="17">
        <f>PRODUCT(H368:K368)</f>
        <v>0.004464285714285714</v>
      </c>
      <c r="M368" s="17">
        <f>G368*L368</f>
        <v>0.04455357142857143</v>
      </c>
      <c r="N368" s="17">
        <f>IF(K368=0,H368*I368,L368)</f>
        <v>0.004464285714285714</v>
      </c>
      <c r="O368" s="17">
        <f>G368*N368</f>
        <v>0.04455357142857143</v>
      </c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</row>
    <row r="369">
      <c r="A369" s="15" t="inlineStr">
        <is>
          <t>9月</t>
        </is>
      </c>
      <c r="B369" s="15" t="inlineStr">
        <is>
          <t>二、餐饮客户</t>
        </is>
      </c>
      <c r="C369" s="15" t="inlineStr">
        <is>
          <t>宴会</t>
        </is>
      </c>
      <c r="D369" s="15" t="inlineStr">
        <is>
          <t>宴会</t>
        </is>
      </c>
      <c r="E369" s="15" t="inlineStr">
        <is>
          <t>硬件设施</t>
        </is>
      </c>
      <c r="F369" s="15" t="inlineStr">
        <is>
          <t>硬件设施</t>
        </is>
      </c>
      <c r="G369" s="17" t="n">
        <v>9.970000000000001</v>
      </c>
      <c r="H369" s="17" t="n">
        <v>0.125</v>
      </c>
      <c r="I369" s="17" t="n">
        <v>0.07142857142857142</v>
      </c>
      <c r="J369" s="17" t="n">
        <v>1</v>
      </c>
      <c r="K369" s="17" t="n">
        <v>0.5</v>
      </c>
      <c r="L369" s="17">
        <f>PRODUCT(H369:K369)</f>
        <v>0.004464285714285714</v>
      </c>
      <c r="M369" s="17">
        <f>G369*L369</f>
        <v>0.044508928571428574</v>
      </c>
      <c r="N369" s="17">
        <f>IF(K369=0,H369*I369,L369)</f>
        <v>0.004464285714285714</v>
      </c>
      <c r="O369" s="17">
        <f>G369*N369</f>
        <v>0.044508928571428574</v>
      </c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</row>
    <row r="370">
      <c r="A370" s="15" t="inlineStr">
        <is>
          <t>9月</t>
        </is>
      </c>
      <c r="B370" s="15" t="inlineStr">
        <is>
          <t>三、G20峰会体验馆</t>
        </is>
      </c>
      <c r="C370" s="15" t="inlineStr">
        <is>
          <t>游客</t>
        </is>
      </c>
      <c r="D370" s="15" t="inlineStr">
        <is>
          <t>游客</t>
        </is>
      </c>
      <c r="E370" s="15" t="inlineStr">
        <is>
          <t>旅游服务</t>
        </is>
      </c>
      <c r="F370" s="15" t="inlineStr">
        <is>
          <t>产品服务</t>
        </is>
      </c>
      <c r="G370" s="17" t="n">
        <v>9.949999999999999</v>
      </c>
      <c r="H370" s="17" t="n">
        <v>0.125</v>
      </c>
      <c r="I370" s="17" t="n">
        <v>0.07142857142857142</v>
      </c>
      <c r="J370" s="17" t="n">
        <v>1</v>
      </c>
      <c r="K370" s="17" t="n">
        <v>0.3333333333333333</v>
      </c>
      <c r="L370" s="17">
        <f>PRODUCT(H370:K370)</f>
        <v>0.002976190476190476</v>
      </c>
      <c r="M370" s="17">
        <f>G370*L370</f>
        <v>0.029613095238095234</v>
      </c>
      <c r="N370" s="17">
        <f>IF(K370=0,H370*I370,L370)</f>
        <v>0.002976190476190476</v>
      </c>
      <c r="O370" s="17">
        <f>G370*N370</f>
        <v>0.029613095238095234</v>
      </c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</row>
    <row r="371">
      <c r="A371" s="15" t="inlineStr">
        <is>
          <t>9月</t>
        </is>
      </c>
      <c r="B371" s="15" t="inlineStr">
        <is>
          <t>三、G20峰会体验馆</t>
        </is>
      </c>
      <c r="C371" s="15" t="inlineStr">
        <is>
          <t>游客</t>
        </is>
      </c>
      <c r="D371" s="15" t="inlineStr">
        <is>
          <t>游客</t>
        </is>
      </c>
      <c r="E371" s="15" t="inlineStr">
        <is>
          <t>硬件设施</t>
        </is>
      </c>
      <c r="F371" s="15" t="inlineStr">
        <is>
          <t>硬件设施</t>
        </is>
      </c>
      <c r="G371" s="17" t="n">
        <v>10</v>
      </c>
      <c r="H371" s="17" t="n">
        <v>0.125</v>
      </c>
      <c r="I371" s="17" t="n">
        <v>0.07142857142857142</v>
      </c>
      <c r="J371" s="17" t="n">
        <v>1</v>
      </c>
      <c r="K371" s="17" t="n">
        <v>0.3333333333333333</v>
      </c>
      <c r="L371" s="17">
        <f>PRODUCT(H371:K371)</f>
        <v>0.002976190476190476</v>
      </c>
      <c r="M371" s="17">
        <f>G371*L371</f>
        <v>0.02976190476190476</v>
      </c>
      <c r="N371" s="17">
        <f>IF(K371=0,H371*I371,L371)</f>
        <v>0.002976190476190476</v>
      </c>
      <c r="O371" s="17">
        <f>G371*N371</f>
        <v>0.02976190476190476</v>
      </c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</row>
    <row r="372">
      <c r="A372" s="15" t="inlineStr">
        <is>
          <t>9月</t>
        </is>
      </c>
      <c r="B372" s="15" t="inlineStr">
        <is>
          <t>三、G20峰会体验馆</t>
        </is>
      </c>
      <c r="C372" s="15" t="inlineStr">
        <is>
          <t>游客</t>
        </is>
      </c>
      <c r="D372" s="15" t="inlineStr">
        <is>
          <t>游客</t>
        </is>
      </c>
      <c r="E372" s="15" t="inlineStr">
        <is>
          <t>智慧服务</t>
        </is>
      </c>
      <c r="F372" s="15" t="inlineStr">
        <is>
          <t>智慧场馆/服务</t>
        </is>
      </c>
      <c r="G372" s="17" t="n">
        <v>8</v>
      </c>
      <c r="H372" s="17" t="n">
        <v>0.125</v>
      </c>
      <c r="I372" s="17" t="n">
        <v>0.07142857142857142</v>
      </c>
      <c r="J372" s="17" t="n">
        <v>1</v>
      </c>
      <c r="K372" s="17" t="n">
        <v>0.3333333333333333</v>
      </c>
      <c r="L372" s="17">
        <f>PRODUCT(H372:K372)</f>
        <v>0.002976190476190476</v>
      </c>
      <c r="M372" s="17">
        <f>G372*L372</f>
        <v>0.023809523809523808</v>
      </c>
      <c r="N372" s="17">
        <f>IF(K372=0,H372*I372,L372)</f>
        <v>0.002976190476190476</v>
      </c>
      <c r="O372" s="17">
        <f>G372*N372</f>
        <v>0.023809523809523808</v>
      </c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</row>
    <row r="373">
      <c r="A373" s="15" t="inlineStr">
        <is>
          <t>9月</t>
        </is>
      </c>
      <c r="B373" s="15" t="inlineStr">
        <is>
          <t>三、G20峰会体验馆</t>
        </is>
      </c>
      <c r="C373" s="15" t="inlineStr">
        <is>
          <t>旅行社工作人员</t>
        </is>
      </c>
      <c r="D373" s="15" t="inlineStr">
        <is>
          <t>旅行社工作人员</t>
        </is>
      </c>
      <c r="E373" s="15" t="inlineStr">
        <is>
          <t>旅游服务</t>
        </is>
      </c>
      <c r="F373" s="15" t="inlineStr">
        <is>
          <t>产品服务</t>
        </is>
      </c>
      <c r="G373" s="17" t="n">
        <v>10</v>
      </c>
      <c r="H373" s="17" t="n">
        <v>0.125</v>
      </c>
      <c r="I373" s="17" t="n">
        <v>0.07142857142857142</v>
      </c>
      <c r="J373" s="17" t="n">
        <v>1</v>
      </c>
      <c r="K373" s="17" t="n">
        <v>0.3333333333333333</v>
      </c>
      <c r="L373" s="17">
        <f>PRODUCT(H373:K373)</f>
        <v>0.002976190476190476</v>
      </c>
      <c r="M373" s="17">
        <f>G373*L373</f>
        <v>0.02976190476190476</v>
      </c>
      <c r="N373" s="17">
        <f>IF(K373=0,H373*I373,L373)</f>
        <v>0.002976190476190476</v>
      </c>
      <c r="O373" s="17">
        <f>G373*N373</f>
        <v>0.02976190476190476</v>
      </c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</row>
    <row r="374">
      <c r="A374" s="15" t="inlineStr">
        <is>
          <t>9月</t>
        </is>
      </c>
      <c r="B374" s="15" t="inlineStr">
        <is>
          <t>三、G20峰会体验馆</t>
        </is>
      </c>
      <c r="C374" s="15" t="inlineStr">
        <is>
          <t>旅行社工作人员</t>
        </is>
      </c>
      <c r="D374" s="15" t="inlineStr">
        <is>
          <t>旅行社工作人员</t>
        </is>
      </c>
      <c r="E374" s="15" t="inlineStr">
        <is>
          <t>硬件设施</t>
        </is>
      </c>
      <c r="F374" s="15" t="inlineStr">
        <is>
          <t>硬件设施</t>
        </is>
      </c>
      <c r="G374" s="17" t="n">
        <v>9.67</v>
      </c>
      <c r="H374" s="17" t="n">
        <v>0.125</v>
      </c>
      <c r="I374" s="17" t="n">
        <v>0.07142857142857142</v>
      </c>
      <c r="J374" s="17" t="n">
        <v>1</v>
      </c>
      <c r="K374" s="17" t="n">
        <v>0.3333333333333333</v>
      </c>
      <c r="L374" s="17">
        <f>PRODUCT(H374:K374)</f>
        <v>0.002976190476190476</v>
      </c>
      <c r="M374" s="17">
        <f>G374*L374</f>
        <v>0.028779761904761902</v>
      </c>
      <c r="N374" s="17">
        <f>IF(K374=0,H374*I374,L374)</f>
        <v>0.002976190476190476</v>
      </c>
      <c r="O374" s="17">
        <f>G374*N374</f>
        <v>0.028779761904761902</v>
      </c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</row>
    <row r="375">
      <c r="A375" s="15" t="inlineStr">
        <is>
          <t>9月</t>
        </is>
      </c>
      <c r="B375" s="15" t="inlineStr">
        <is>
          <t>三、G20峰会体验馆</t>
        </is>
      </c>
      <c r="C375" s="15" t="inlineStr">
        <is>
          <t>旅行社工作人员</t>
        </is>
      </c>
      <c r="D375" s="15" t="inlineStr">
        <is>
          <t>旅行社工作人员</t>
        </is>
      </c>
      <c r="E375" s="15" t="inlineStr">
        <is>
          <t>智慧服务</t>
        </is>
      </c>
      <c r="F375" s="15" t="inlineStr">
        <is>
          <t>智慧场馆/服务</t>
        </is>
      </c>
      <c r="G375" s="17" t="n">
        <v>10</v>
      </c>
      <c r="H375" s="17" t="n">
        <v>0.125</v>
      </c>
      <c r="I375" s="17" t="n">
        <v>0.07142857142857142</v>
      </c>
      <c r="J375" s="17" t="n">
        <v>1</v>
      </c>
      <c r="K375" s="17" t="n">
        <v>0.3333333333333333</v>
      </c>
      <c r="L375" s="17">
        <f>PRODUCT(H375:K375)</f>
        <v>0.002976190476190476</v>
      </c>
      <c r="M375" s="17">
        <f>G375*L375</f>
        <v>0.02976190476190476</v>
      </c>
      <c r="N375" s="17">
        <f>IF(K375=0,H375*I375,L375)</f>
        <v>0.002976190476190476</v>
      </c>
      <c r="O375" s="17">
        <f>G375*N375</f>
        <v>0.02976190476190476</v>
      </c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</row>
    <row r="376">
      <c r="A376" s="15" t="inlineStr">
        <is>
          <t>9月</t>
        </is>
      </c>
      <c r="B376" s="15" t="inlineStr">
        <is>
          <t>五、酒店客户</t>
        </is>
      </c>
      <c r="C376" s="15" t="inlineStr">
        <is>
          <t>酒店散客</t>
        </is>
      </c>
      <c r="D376" s="15" t="inlineStr">
        <is>
          <t>散客</t>
        </is>
      </c>
      <c r="E376" s="15" t="inlineStr">
        <is>
          <t>硬件设施</t>
        </is>
      </c>
      <c r="F376" s="15" t="inlineStr">
        <is>
          <t>硬件设施</t>
        </is>
      </c>
      <c r="G376" s="17" t="n">
        <v>9.57</v>
      </c>
      <c r="H376" s="17" t="n">
        <v>0.125</v>
      </c>
      <c r="I376" s="17" t="n">
        <v>0.07142857142857142</v>
      </c>
      <c r="J376" s="17" t="n">
        <v>1</v>
      </c>
      <c r="K376" s="17" t="n">
        <v>0.3333333333333333</v>
      </c>
      <c r="L376" s="17">
        <f>PRODUCT(H376:K376)</f>
        <v>0.002976190476190476</v>
      </c>
      <c r="M376" s="17">
        <f>G376*L376</f>
        <v>0.028482142857142855</v>
      </c>
      <c r="N376" s="17">
        <f>IF(K376=0,H376*I376,L376)</f>
        <v>0.002976190476190476</v>
      </c>
      <c r="O376" s="17">
        <f>G376*N376</f>
        <v>0.028482142857142855</v>
      </c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</row>
    <row r="377">
      <c r="A377" s="15" t="inlineStr">
        <is>
          <t>9月</t>
        </is>
      </c>
      <c r="B377" s="15" t="inlineStr">
        <is>
          <t>五、酒店客户</t>
        </is>
      </c>
      <c r="C377" s="15" t="inlineStr">
        <is>
          <t>酒店散客</t>
        </is>
      </c>
      <c r="D377" s="15" t="inlineStr">
        <is>
          <t>散客</t>
        </is>
      </c>
      <c r="E377" s="15" t="inlineStr">
        <is>
          <t>入住服务</t>
        </is>
      </c>
      <c r="F377" s="15" t="inlineStr">
        <is>
          <t>产品服务</t>
        </is>
      </c>
      <c r="G377" s="17" t="n">
        <v>9.359999999999999</v>
      </c>
      <c r="H377" s="17" t="n">
        <v>0.125</v>
      </c>
      <c r="I377" s="17" t="n">
        <v>0.07142857142857142</v>
      </c>
      <c r="J377" s="17" t="n">
        <v>1</v>
      </c>
      <c r="K377" s="17" t="n">
        <v>0.3333333333333333</v>
      </c>
      <c r="L377" s="17">
        <f>PRODUCT(H377:K377)</f>
        <v>0.002976190476190476</v>
      </c>
      <c r="M377" s="17">
        <f>G377*L377</f>
        <v>0.027857142857142855</v>
      </c>
      <c r="N377" s="17">
        <f>IF(K377=0,H377*I377,L377)</f>
        <v>0.002976190476190476</v>
      </c>
      <c r="O377" s="17">
        <f>G377*N377</f>
        <v>0.027857142857142855</v>
      </c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</row>
    <row r="378">
      <c r="A378" s="15" t="inlineStr">
        <is>
          <t>9月</t>
        </is>
      </c>
      <c r="B378" s="15" t="inlineStr">
        <is>
          <t>五、酒店客户</t>
        </is>
      </c>
      <c r="C378" s="15" t="inlineStr">
        <is>
          <t>酒店散客</t>
        </is>
      </c>
      <c r="D378" s="15" t="inlineStr">
        <is>
          <t>散客</t>
        </is>
      </c>
      <c r="E378" s="15" t="inlineStr">
        <is>
          <t>餐饮服务</t>
        </is>
      </c>
      <c r="F378" s="15" t="inlineStr">
        <is>
          <t>餐饮服务</t>
        </is>
      </c>
      <c r="G378" s="17" t="n">
        <v>9.880000000000001</v>
      </c>
      <c r="H378" s="17" t="n">
        <v>0.125</v>
      </c>
      <c r="I378" s="17" t="n">
        <v>0.07142857142857142</v>
      </c>
      <c r="J378" s="17" t="n">
        <v>1</v>
      </c>
      <c r="K378" s="17" t="n">
        <v>0.3333333333333333</v>
      </c>
      <c r="L378" s="17">
        <f>PRODUCT(H378:K378)</f>
        <v>0.002976190476190476</v>
      </c>
      <c r="M378" s="17">
        <f>G378*L378</f>
        <v>0.029404761904761906</v>
      </c>
      <c r="N378" s="17">
        <f>IF(K378=0,H378*I378,L378)</f>
        <v>0.002976190476190476</v>
      </c>
      <c r="O378" s="17">
        <f>G378*N378</f>
        <v>0.029404761904761906</v>
      </c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</row>
    <row r="379">
      <c r="A379" s="15" t="inlineStr">
        <is>
          <t>9月</t>
        </is>
      </c>
      <c r="B379" s="15" t="inlineStr">
        <is>
          <t>五、酒店客户</t>
        </is>
      </c>
      <c r="C379" s="15" t="inlineStr">
        <is>
          <t>酒店会议主（承）办</t>
        </is>
      </c>
      <c r="D379" s="15" t="inlineStr">
        <is>
          <t>酒店会议主承办</t>
        </is>
      </c>
      <c r="E379" s="15" t="inlineStr">
        <is>
          <t>会展服务</t>
        </is>
      </c>
      <c r="F379" s="15" t="inlineStr">
        <is>
          <t>产品服务</t>
        </is>
      </c>
      <c r="G379" s="17" t="n">
        <v>9.93</v>
      </c>
      <c r="H379" s="17" t="n">
        <v>0.125</v>
      </c>
      <c r="I379" s="17" t="n">
        <v>0.07142857142857142</v>
      </c>
      <c r="J379" s="17" t="n">
        <v>1</v>
      </c>
      <c r="K379" s="17" t="n">
        <v>0.3333333333333333</v>
      </c>
      <c r="L379" s="17">
        <f>PRODUCT(H379:K379)</f>
        <v>0.002976190476190476</v>
      </c>
      <c r="M379" s="17">
        <f>G379*L379</f>
        <v>0.029553571428571426</v>
      </c>
      <c r="N379" s="17">
        <f>IF(K379=0,H379*I379,L379)</f>
        <v>0.002976190476190476</v>
      </c>
      <c r="O379" s="17">
        <f>G379*N379</f>
        <v>0.029553571428571426</v>
      </c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</row>
    <row r="380">
      <c r="A380" s="15" t="inlineStr">
        <is>
          <t>9月</t>
        </is>
      </c>
      <c r="B380" s="15" t="inlineStr">
        <is>
          <t>五、酒店客户</t>
        </is>
      </c>
      <c r="C380" s="15" t="inlineStr">
        <is>
          <t>酒店会议主（承）办</t>
        </is>
      </c>
      <c r="D380" s="15" t="inlineStr">
        <is>
          <t>酒店会议主承办</t>
        </is>
      </c>
      <c r="E380" s="15" t="inlineStr">
        <is>
          <t>硬件设施</t>
        </is>
      </c>
      <c r="F380" s="15" t="inlineStr">
        <is>
          <t>硬件设施</t>
        </is>
      </c>
      <c r="G380" s="17" t="n">
        <v>9.859999999999999</v>
      </c>
      <c r="H380" s="17" t="n">
        <v>0.125</v>
      </c>
      <c r="I380" s="17" t="n">
        <v>0.07142857142857142</v>
      </c>
      <c r="J380" s="17" t="n">
        <v>1</v>
      </c>
      <c r="K380" s="17" t="n">
        <v>0.3333333333333333</v>
      </c>
      <c r="L380" s="17">
        <f>PRODUCT(H380:K380)</f>
        <v>0.002976190476190476</v>
      </c>
      <c r="M380" s="17">
        <f>G380*L380</f>
        <v>0.02934523809523809</v>
      </c>
      <c r="N380" s="17">
        <f>IF(K380=0,H380*I380,L380)</f>
        <v>0.002976190476190476</v>
      </c>
      <c r="O380" s="17">
        <f>G380*N380</f>
        <v>0.02934523809523809</v>
      </c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</row>
    <row r="381">
      <c r="A381" s="15" t="inlineStr">
        <is>
          <t>9月</t>
        </is>
      </c>
      <c r="B381" s="15" t="inlineStr">
        <is>
          <t>五、酒店客户</t>
        </is>
      </c>
      <c r="C381" s="15" t="inlineStr">
        <is>
          <t>酒店会议主（承）办</t>
        </is>
      </c>
      <c r="D381" s="15" t="inlineStr">
        <is>
          <t>酒店会议主承办</t>
        </is>
      </c>
      <c r="E381" s="15" t="inlineStr">
        <is>
          <t>配套服务</t>
        </is>
      </c>
      <c r="F381" s="15" t="inlineStr">
        <is>
          <t>配套服务</t>
        </is>
      </c>
      <c r="G381" s="17" t="n">
        <v>10</v>
      </c>
      <c r="H381" s="17" t="n">
        <v>0.125</v>
      </c>
      <c r="I381" s="17" t="n">
        <v>0.07142857142857142</v>
      </c>
      <c r="J381" s="17" t="n">
        <v>1</v>
      </c>
      <c r="K381" s="17" t="n">
        <v>0.3333333333333333</v>
      </c>
      <c r="L381" s="17">
        <f>PRODUCT(H381:K381)</f>
        <v>0.002976190476190476</v>
      </c>
      <c r="M381" s="17">
        <f>G381*L381</f>
        <v>0.02976190476190476</v>
      </c>
      <c r="N381" s="17">
        <f>IF(K381=0,H381*I381,L381)</f>
        <v>0.002976190476190476</v>
      </c>
      <c r="O381" s="17">
        <f>G381*N381</f>
        <v>0.02976190476190476</v>
      </c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</row>
    <row r="382">
      <c r="A382" s="15" t="inlineStr">
        <is>
          <t>9月</t>
        </is>
      </c>
      <c r="B382" s="15" t="inlineStr">
        <is>
          <t>五、酒店客户</t>
        </is>
      </c>
      <c r="C382" s="15" t="inlineStr">
        <is>
          <t>酒店餐饮客户</t>
        </is>
      </c>
      <c r="D382" s="15" t="inlineStr">
        <is>
          <t>酒店自助餐</t>
        </is>
      </c>
      <c r="E382" s="15" t="inlineStr">
        <is>
          <t>餐饮服务</t>
        </is>
      </c>
      <c r="F382" s="15" t="inlineStr">
        <is>
          <t>餐饮服务</t>
        </is>
      </c>
      <c r="G382" s="17" t="n">
        <v>9.720000000000001</v>
      </c>
      <c r="H382" s="17" t="n">
        <v>0.125</v>
      </c>
      <c r="I382" s="17" t="n">
        <v>0.07142857142857142</v>
      </c>
      <c r="J382" s="17" t="n">
        <v>1</v>
      </c>
      <c r="K382" s="17" t="n">
        <v>0.5</v>
      </c>
      <c r="L382" s="17">
        <f>PRODUCT(H382:K382)</f>
        <v>0.004464285714285714</v>
      </c>
      <c r="M382" s="17">
        <f>G382*L382</f>
        <v>0.04339285714285714</v>
      </c>
      <c r="N382" s="17">
        <f>IF(K382=0,H382*I382,L382)</f>
        <v>0.004464285714285714</v>
      </c>
      <c r="O382" s="17">
        <f>G382*N382</f>
        <v>0.04339285714285714</v>
      </c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</row>
    <row r="383">
      <c r="A383" s="15" t="inlineStr">
        <is>
          <t>9月</t>
        </is>
      </c>
      <c r="B383" s="15" t="inlineStr">
        <is>
          <t>五、酒店客户</t>
        </is>
      </c>
      <c r="C383" s="15" t="inlineStr">
        <is>
          <t>酒店餐饮客户</t>
        </is>
      </c>
      <c r="D383" s="15" t="inlineStr">
        <is>
          <t>酒店自助餐</t>
        </is>
      </c>
      <c r="E383" s="15" t="inlineStr">
        <is>
          <t>硬件设施</t>
        </is>
      </c>
      <c r="F383" s="15" t="inlineStr">
        <is>
          <t>硬件设施</t>
        </is>
      </c>
      <c r="G383" s="17" t="n">
        <v>9.25</v>
      </c>
      <c r="H383" s="17" t="n">
        <v>0.125</v>
      </c>
      <c r="I383" s="17" t="n">
        <v>0.07142857142857142</v>
      </c>
      <c r="J383" s="17" t="n">
        <v>1</v>
      </c>
      <c r="K383" s="17" t="n">
        <v>0.5</v>
      </c>
      <c r="L383" s="17">
        <f>PRODUCT(H383:K383)</f>
        <v>0.004464285714285714</v>
      </c>
      <c r="M383" s="17">
        <f>G383*L383</f>
        <v>0.041294642857142856</v>
      </c>
      <c r="N383" s="17">
        <f>IF(K383=0,H383*I383,L383)</f>
        <v>0.004464285714285714</v>
      </c>
      <c r="O383" s="17">
        <f>G383*N383</f>
        <v>0.041294642857142856</v>
      </c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</row>
  </sheetData>
  <autoFilter ref="A1:O383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2026-10-11T08:01:09Z</dcterms:created>
  <dcterms:modified xmlns:dcterms="http://purl.org/dc/terms/" xmlns:xsi="http://www.w3.org/2001/XMLSchema-instance" xsi:type="dcterms:W3CDTF">2026-10-11T08:01:10Z</dcterms:modified>
</cp:coreProperties>
</file>